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  <sheet xmlns:r="http://schemas.openxmlformats.org/officeDocument/2006/relationships" name="📋확인사항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7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  <font>
      <name val="맑은 고딕"/>
      <b val="1"/>
      <color rgb="00FFFFFF"/>
      <sz val="9"/>
    </font>
    <font>
      <name val="맑은 고딕"/>
      <color rgb="00000000"/>
      <sz val="9"/>
    </font>
    <font>
      <name val="맑은 고딕"/>
      <color rgb="000070C0"/>
      <sz val="9"/>
    </font>
    <font>
      <color rgb="000000FF"/>
      <u val="single"/>
    </font>
  </fonts>
  <fills count="12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00C00000"/>
      </patternFill>
    </fill>
    <fill>
      <patternFill patternType="solid">
        <fgColor rgb="000070C0"/>
      </patternFill>
    </fill>
    <fill>
      <patternFill patternType="solid">
        <fgColor rgb="002E75B6"/>
      </patternFill>
    </fill>
  </fills>
  <borders count="6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 applyAlignment="1">
      <alignment vertical="center"/>
    </xf>
  </cellStyleXfs>
  <cellXfs count="198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  <xf numFmtId="0" fontId="1" fillId="2" borderId="53" applyAlignment="1" pivotButton="0" quotePrefix="0" xfId="0">
      <alignment horizontal="center" vertical="center"/>
    </xf>
    <xf numFmtId="0" fontId="0" fillId="0" borderId="54" pivotButton="0" quotePrefix="0" xfId="0"/>
    <xf numFmtId="164" fontId="13" fillId="9" borderId="54" applyAlignment="1" pivotButton="0" quotePrefix="0" xfId="0">
      <alignment horizontal="center" vertical="center" wrapText="1"/>
    </xf>
    <xf numFmtId="164" fontId="13" fillId="10" borderId="54" applyAlignment="1" pivotButton="0" quotePrefix="0" xfId="0">
      <alignment horizontal="center" vertical="center" wrapText="1"/>
    </xf>
    <xf numFmtId="0" fontId="13" fillId="11" borderId="55" applyAlignment="1" pivotButton="0" quotePrefix="0" xfId="0">
      <alignment horizontal="center" vertical="center" wrapText="1"/>
    </xf>
    <xf numFmtId="0" fontId="4" fillId="2" borderId="56" applyAlignment="1" pivotButton="0" quotePrefix="0" xfId="0">
      <alignment horizontal="center" vertical="center"/>
    </xf>
    <xf numFmtId="0" fontId="0" fillId="0" borderId="57" pivotButton="0" quotePrefix="0" xfId="0"/>
    <xf numFmtId="3" fontId="14" fillId="0" borderId="57" applyAlignment="1" pivotButton="0" quotePrefix="0" xfId="0">
      <alignment horizontal="center" vertical="center"/>
    </xf>
    <xf numFmtId="164" fontId="15" fillId="0" borderId="57" applyAlignment="1" pivotButton="0" quotePrefix="0" xfId="0">
      <alignment horizontal="center" vertical="center"/>
    </xf>
    <xf numFmtId="3" fontId="15" fillId="0" borderId="57" applyAlignment="1" pivotButton="0" quotePrefix="0" xfId="0">
      <alignment horizontal="center" vertical="center"/>
    </xf>
    <xf numFmtId="3" fontId="14" fillId="0" borderId="58" applyAlignment="1" pivotButton="0" quotePrefix="0" xfId="0">
      <alignment horizontal="center" vertical="center"/>
    </xf>
    <xf numFmtId="0" fontId="6" fillId="2" borderId="56" applyAlignment="1" pivotButton="0" quotePrefix="0" xfId="0">
      <alignment horizontal="center" vertical="center"/>
    </xf>
    <xf numFmtId="164" fontId="14" fillId="0" borderId="57" applyAlignment="1" pivotButton="0" quotePrefix="0" xfId="0">
      <alignment horizontal="center" vertical="center"/>
    </xf>
    <xf numFmtId="164" fontId="5" fillId="0" borderId="58" applyAlignment="1" pivotButton="0" quotePrefix="0" xfId="0">
      <alignment horizontal="center" vertical="center"/>
    </xf>
    <xf numFmtId="0" fontId="4" fillId="7" borderId="59" applyAlignment="1" pivotButton="0" quotePrefix="0" xfId="0">
      <alignment horizontal="center" vertical="center"/>
    </xf>
    <xf numFmtId="0" fontId="4" fillId="8" borderId="60" applyAlignment="1" pivotButton="0" quotePrefix="0" xfId="0">
      <alignment horizontal="center" vertical="center"/>
    </xf>
    <xf numFmtId="164" fontId="5" fillId="0" borderId="60" applyAlignment="1" pivotButton="0" quotePrefix="0" xfId="0">
      <alignment horizontal="center" vertical="center"/>
    </xf>
    <xf numFmtId="3" fontId="14" fillId="0" borderId="61" applyAlignment="1" pivotButton="0" quotePrefix="0" xfId="0">
      <alignment horizontal="center" vertical="center"/>
    </xf>
    <xf numFmtId="0" fontId="0" fillId="0" borderId="62" pivotButton="0" quotePrefix="0" xfId="0"/>
    <xf numFmtId="0" fontId="4" fillId="8" borderId="63" applyAlignment="1" pivotButton="0" quotePrefix="0" xfId="0">
      <alignment horizontal="center" vertical="center"/>
    </xf>
    <xf numFmtId="164" fontId="5" fillId="0" borderId="63" applyAlignment="1" pivotButton="0" quotePrefix="0" xfId="0">
      <alignment horizontal="center" vertical="center"/>
    </xf>
    <xf numFmtId="3" fontId="14" fillId="0" borderId="64" applyAlignment="1" pivotButton="0" quotePrefix="0" xfId="0">
      <alignment horizontal="center" vertical="center"/>
    </xf>
    <xf numFmtId="0" fontId="4" fillId="2" borderId="63" applyAlignment="1" pivotButton="0" quotePrefix="0" xfId="0">
      <alignment horizontal="center" vertical="center"/>
    </xf>
    <xf numFmtId="0" fontId="0" fillId="0" borderId="56" pivotButton="0" quotePrefix="0" xfId="0"/>
    <xf numFmtId="0" fontId="4" fillId="2" borderId="57" applyAlignment="1" pivotButton="0" quotePrefix="0" xfId="0">
      <alignment horizontal="center" vertical="center"/>
    </xf>
    <xf numFmtId="164" fontId="5" fillId="0" borderId="57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3" fontId="14" fillId="0" borderId="63" applyAlignment="1" pivotButton="0" quotePrefix="0" xfId="0">
      <alignment horizontal="center" vertical="center"/>
    </xf>
    <xf numFmtId="3" fontId="15" fillId="0" borderId="63" applyAlignment="1" pivotButton="0" quotePrefix="0" xfId="0">
      <alignment horizontal="center" vertical="center"/>
    </xf>
    <xf numFmtId="164" fontId="9" fillId="0" borderId="63" applyAlignment="1" pivotButton="0" quotePrefix="0" xfId="0">
      <alignment horizontal="center" vertical="center"/>
    </xf>
    <xf numFmtId="0" fontId="0" fillId="0" borderId="63" pivotButton="0" quotePrefix="0" xfId="0"/>
    <xf numFmtId="3" fontId="15" fillId="0" borderId="63" pivotButton="0" quotePrefix="0" xfId="0"/>
    <xf numFmtId="3" fontId="14" fillId="0" borderId="64" pivotButton="0" quotePrefix="0" xfId="0"/>
    <xf numFmtId="0" fontId="5" fillId="2" borderId="63" applyAlignment="1" pivotButton="0" quotePrefix="0" xfId="0">
      <alignment horizontal="center" vertical="center"/>
    </xf>
    <xf numFmtId="0" fontId="4" fillId="8" borderId="57" applyAlignment="1" pivotButton="0" quotePrefix="0" xfId="0">
      <alignment horizontal="center" vertical="center"/>
    </xf>
    <xf numFmtId="164" fontId="15" fillId="0" borderId="63" applyAlignment="1" pivotButton="0" quotePrefix="0" xfId="0">
      <alignment horizontal="center" vertical="center"/>
    </xf>
    <xf numFmtId="164" fontId="14" fillId="0" borderId="64" applyAlignment="1" pivotButton="0" quotePrefix="0" xfId="0">
      <alignment horizontal="center" vertical="center"/>
    </xf>
    <xf numFmtId="0" fontId="0" fillId="0" borderId="59" pivotButton="0" quotePrefix="0" xfId="0"/>
    <xf numFmtId="0" fontId="4" fillId="2" borderId="60" applyAlignment="1" pivotButton="0" quotePrefix="0" xfId="0">
      <alignment horizontal="center" vertical="center"/>
    </xf>
    <xf numFmtId="3" fontId="14" fillId="0" borderId="60" applyAlignment="1" pivotButton="0" quotePrefix="0" xfId="0">
      <alignment horizontal="center" vertical="center"/>
    </xf>
    <xf numFmtId="3" fontId="15" fillId="0" borderId="60" applyAlignment="1" pivotButton="0" quotePrefix="0" xfId="0">
      <alignment horizontal="center" vertical="center"/>
    </xf>
    <xf numFmtId="0" fontId="5" fillId="2" borderId="57" applyAlignment="1" pivotButton="0" quotePrefix="0" xfId="0">
      <alignment horizontal="center" vertical="center"/>
    </xf>
    <xf numFmtId="0" fontId="4" fillId="7" borderId="56" applyAlignment="1" pivotButton="0" quotePrefix="0" xfId="0">
      <alignment horizontal="center" vertical="center"/>
    </xf>
    <xf numFmtId="164" fontId="9" fillId="0" borderId="57" applyAlignment="1" pivotButton="0" quotePrefix="0" xfId="0">
      <alignment horizontal="center" vertical="center"/>
    </xf>
    <xf numFmtId="164" fontId="14" fillId="0" borderId="58" applyAlignment="1" pivotButton="0" quotePrefix="0" xfId="0">
      <alignment horizontal="center" vertical="center"/>
    </xf>
    <xf numFmtId="0" fontId="16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search.naver.com/search.naver?query=%EB%A9%94%EB%A6%AC%EC%B8%A0%ED%99%94%EC%9E%AC%20%EB%AC%B4%20%20%EC%95%8C%ED%8C%8CPlus%EB%B3%B4%EC%9E%A5%EB%B3%B4%ED%97%981901%20%EC%83%81%ED%95%B4%ED%9D%89%ED%84%B0%EB%B3%B5%EC%9B%90%EC%88%98%EC%88%A0%EB%B9%84%20%EC%95%BD%EA%B4%80%20%EB%B3%B4%EC%9E%A5%EB%82%B4%EC%9A%A9" TargetMode="External" Id="rId1"/><Relationship Type="http://schemas.openxmlformats.org/officeDocument/2006/relationships/hyperlink" Target="https://search.naver.com/search.naver?query=%EB%A9%94%EB%A6%AC%EC%B8%A0%ED%99%94%EC%9E%AC%20%EB%AC%B4%20%20%EC%95%8C%ED%8C%8CPlus%EB%B3%B4%EC%9E%A5%EB%B3%B4%ED%97%981901%20%EC%9D%B8%EA%B3%B5%EA%B4%80%EC%A0%88%EC%88%98%EC%88%A0%EB%B9%84%20%EC%95%BD%EA%B4%80%20%EB%B3%B4%EC%9E%A5%EB%82%B4%EC%9A%A9" TargetMode="External" Id="rId2"/><Relationship Type="http://schemas.openxmlformats.org/officeDocument/2006/relationships/hyperlink" Target="https://search.naver.com/search.naver?query=%EB%A9%94%EB%A6%AC%EC%B8%A0%ED%99%94%EC%9E%AC%20%EB%AC%B4%20%20%EC%95%8C%ED%8C%8CPlus%EB%B3%B4%EC%9E%A5%EB%B3%B4%ED%97%981901%205%EB%8C%80%EC%9E%A5%EA%B8%B0%EC%9D%B4%EC%8B%9D%EC%88%98%EC%88%A0%EB%B9%84%20%EC%95%BD%EA%B4%80%20%EB%B3%B4%EC%9E%A5%EB%82%B4%EC%9A%A9" TargetMode="External" Id="rId3"/><Relationship Type="http://schemas.openxmlformats.org/officeDocument/2006/relationships/hyperlink" Target="https://search.naver.com/search.naver?query=%EB%A9%94%EB%A6%AC%EC%B8%A0%ED%99%94%EC%9E%AC%20%EB%AC%B4%20%20%EC%95%8C%ED%8C%8CPlus%EB%B3%B4%EC%9E%A5%EB%B3%B4%ED%97%981901%20%EA%B0%81%EB%A7%89%EC%9D%B4%EC%8B%9D%EC%88%98%EC%88%A0%EB%B9%84%20%EC%95%BD%EA%B4%80%20%EB%B3%B4%EC%9E%A5%EB%82%B4%EC%9A%A9" TargetMode="External" Id="rId4"/><Relationship Type="http://schemas.openxmlformats.org/officeDocument/2006/relationships/hyperlink" Target="https://search.naver.com/search.naver?query=%EB%A9%94%EB%A6%AC%EC%B8%A0%ED%99%94%EC%9E%AC%20%EB%AC%B4%20%20%EC%95%8C%ED%8C%8CPlus%EB%B3%B4%EC%9E%A5%EB%B3%B4%ED%97%981901%20%EA%B0%84%EC%A7%88%ED%99%98%EC%88%98%EC%88%A0%EB%B9%84%20%EC%95%BD%EA%B4%80%20%EB%B3%B4%EC%9E%A5%EB%82%B4%EC%9A%A9" TargetMode="External" Id="rId5"/><Relationship Type="http://schemas.openxmlformats.org/officeDocument/2006/relationships/hyperlink" Target="https://search.naver.com/search.naver?query=%EB%A9%94%EB%A6%AC%EC%B8%A0%ED%99%94%EC%9E%AC%20%EB%AC%B4%20%20%EC%95%8C%ED%8C%8CPlus%EB%B3%B4%EC%9E%A5%EB%B3%B4%ED%97%981901%20%EC%97%AC%EC%84%B1%EA%B3%A8%EB%8B%A4%EA%B3%B5%EC%A6%9D%EC%88%98%EC%88%A0%EB%B9%84%20%EC%95%BD%EA%B4%80%20%EB%B3%B4%EC%9E%A5%EB%82%B4%EC%9A%A9" TargetMode="External" Id="rId6"/><Relationship Type="http://schemas.openxmlformats.org/officeDocument/2006/relationships/hyperlink" Target="https://search.naver.com/search.naver?query=%EB%A9%94%EB%A6%AC%EC%B8%A0%ED%99%94%EC%9E%AC%20%EB%AC%B4%20%20%EC%95%8C%ED%8C%8CPlus%EB%B3%B4%EC%9E%A5%EB%B3%B4%ED%97%981901%20%EC%9C%A0%EB%B0%A9%EC%A0%88%EC%A0%9C%EC%88%98%EC%88%A0%EB%B3%B5%EC%9B%90%EC%B9%98%EB%A3%8C%EB%B9%84%20%EC%95%BD%EA%B4%80%20%EB%B3%B4%EC%9E%A5%EB%82%B4%EC%9A%A9" TargetMode="External" Id="rId7"/><Relationship Type="http://schemas.openxmlformats.org/officeDocument/2006/relationships/hyperlink" Target="https://search.naver.com/search.naver?query=%EB%A9%94%EB%A6%AC%EC%B8%A0%ED%99%94%EC%9E%AC%20%EB%AC%B4%20%20%EC%95%8C%ED%8C%8CPlus%EB%B3%B4%EC%9E%A5%EB%B3%B4%ED%97%981901%20%EC%A1%B0%ED%98%88%EB%AA%A8%EC%84%B8%ED%8F%AC%EC%9D%B4%EC%8B%9D%EC%88%98%EC%88%A0%EB%B9%84%20%EC%95%BD%EA%B4%80%20%EB%B3%B4%EC%9E%A5%EB%82%B4%EC%9A%A9" TargetMode="External" Id="rId8"/><Relationship Type="http://schemas.openxmlformats.org/officeDocument/2006/relationships/hyperlink" Target="https://search.naver.com/search.naver?query=%EB%A9%94%EB%A6%AC%EC%B8%A0%ED%99%94%EC%9E%AC%20%EB%AC%B4%20%20%EC%95%8C%ED%8C%8CPlus%EB%B3%B4%EC%9E%A5%EB%B3%B4%ED%97%981901%20%EB%AF%BC%EC%82%AC%EC%86%8C%EC%86%A1%20%EB%B2%95%EB%A5%A0%EB%B9%84%EC%9A%A9%20%EC%95%BD%EA%B4%80%20%EB%B3%B4%EC%9E%A5%EB%82%B4%EC%9A%A9" TargetMode="External" Id="rId9"/><Relationship Type="http://schemas.openxmlformats.org/officeDocument/2006/relationships/hyperlink" Target="https://search.naver.com/search.naver?query=%ED%95%9C%ED%99%94%EC%86%90%EB%B3%B4%20%ED%95%9C%ED%99%94%203N5%20WELL100%20%EA%B0%84%ED%8E%B8%EA%B1%B4%20%EA%B4%80%EC%A0%88%EC%A6%9D%28%EC%97%89%EB%8D%A9%2C%EB%AC%B4%EB%A6%8E%29%EC%88%98%EC%88%A0%20%EC%95%BD%EA%B4%80%20%EB%B3%B4%EC%9E%A5%EB%82%B4%EC%9A%A9" TargetMode="External" Id="rId10"/><Relationship Type="http://schemas.openxmlformats.org/officeDocument/2006/relationships/hyperlink" Target="https://search.naver.com/search.naver?query=%ED%95%9C%ED%99%94%EC%86%90%EB%B3%B4%20%ED%95%9C%ED%99%94%203N5%20WELL100%20%EA%B0%84%ED%8E%B8%EA%B1%B4%20%EC%A1%B0%ED%98%88%EB%AA%A8%EC%84%B8%ED%8F%AC%EC%9D%B4%EC%8B%9D%EC%88%98%EC%88%A0%EB%B9%84%281%20%EC%95%BD%EA%B4%80%20%EB%B3%B4%EC%9E%A5%EB%82%B4%EC%9A%A9" TargetMode="External" Id="rId11"/><Relationship Type="http://schemas.openxmlformats.org/officeDocument/2006/relationships/hyperlink" Target="https://search.naver.com/search.naver?query=%ED%95%9C%ED%99%94%EC%86%90%EB%B3%B4%20%ED%95%9C%ED%99%94%203N5%20WELL100%20%EA%B0%84%ED%8E%B8%EA%B1%B4%205%EB%8C%80%EC%9E%A5%EA%B8%B0%EC%9D%B4%EC%8B%9D%EC%88%98%EC%88%A0%EB%B9%84%281%ED%9A%8C%20%EC%95%BD%EA%B4%80%20%EB%B3%B4%EC%9E%A5%EB%82%B4%EC%9A%A9" TargetMode="External" Id="rId12"/><Relationship Type="http://schemas.openxmlformats.org/officeDocument/2006/relationships/hyperlink" Target="https://search.naver.com/search.naver?query=%ED%95%9C%ED%99%94%EC%86%90%EB%B3%B4%20%ED%95%9C%ED%99%94%203N5%20WELL100%20%EA%B0%84%ED%8E%B8%EA%B1%B4%20%EA%B0%81%EB%A7%89%EC%9D%B4%EC%8B%9D%EC%88%98%EC%88%A0%EB%B9%84%281%ED%9A%8C%ED%95%9C%29%20%EC%95%BD%EA%B4%80%20%EB%B3%B4%EC%9E%A5%EB%82%B4%EC%9A%A9" TargetMode="External" Id="rId13"/><Relationship Type="http://schemas.openxmlformats.org/officeDocument/2006/relationships/hyperlink" Target="https://search.naver.com/search.naver?query=%ED%95%9C%ED%99%94%EC%86%90%EB%B3%B4%20%ED%95%9C%ED%99%94%203N5%20WELL100%20%EA%B0%84%ED%8E%B8%EA%B1%B4%20%EB%B3%B4%ED%97%98%EB%A3%8C%EB%82%A9%EC%9E%85%EB%A9%B4%EC%A0%9C%EB%8C%80%EC%83%81%EB%B3%B4%EC%9E%A5%28%20%EC%95%BD%EA%B4%80%20%EB%B3%B4%EC%9E%A5%EB%82%B4%EC%9A%A9" TargetMode="External" Id="rId14"/><Relationship Type="http://schemas.openxmlformats.org/officeDocument/2006/relationships/hyperlink" Target="https://search.naver.com/search.naver?query=%ED%95%9C%ED%99%94%EC%86%90%EB%B3%B4%20LIFEPLUS%203N5%20%EA%B0%84%ED%8E%B8%EA%B1%B4%EA%B0%95%EB%B3%B4%20%28%EA%B0%90%EC%95%A1%EB%B0%8F%EB%A9%B4%EC%B1%85%EC%97%86%EC%9D%8C%29%EC%95%94%28%ED%8A%B9%20%EC%95%BD%EA%B4%80%20%EB%B3%B4%EC%9E%A5%EB%82%B4%EC%9A%A9" TargetMode="External" Id="rId15"/><Relationship Type="http://schemas.openxmlformats.org/officeDocument/2006/relationships/hyperlink" Target="https://search.naver.com/search.naver?query=%ED%95%9C%ED%99%94%EC%86%90%EB%B3%B4%20LIFEPLUS%203N5%20%EA%B0%84%ED%8E%B8%EA%B1%B4%EA%B0%95%EB%B3%B4%20%28%EA%B0%90%EC%95%A1%EB%B0%8F%EB%A9%B4%EC%B1%85%EC%97%86%EC%9D%8C%29%EC%95%94%28%ED%8A%B9%20%EC%95%BD%EA%B4%80%20%EB%B3%B4%EC%9E%A5%EB%82%B4%EC%9A%A9" TargetMode="External" Id="rId16"/><Relationship Type="http://schemas.openxmlformats.org/officeDocument/2006/relationships/hyperlink" Target="https://search.naver.com/search.naver?query=%ED%95%9C%ED%99%94%EC%86%90%EB%B3%B4%20LIFEPLUS%203N5%20%EA%B0%84%ED%8E%B8%EA%B1%B4%EA%B0%95%EB%B3%B4%20%28%EA%B0%90%EC%95%A1%EB%B0%8F%EB%A9%B4%EC%B1%85%EC%97%86%EC%9D%8C%29%EC%95%94%284%20%EC%95%BD%EA%B4%80%20%EB%B3%B4%EC%9E%A5%EB%82%B4%EC%9A%A9" TargetMode="External" Id="rId17"/><Relationship Type="http://schemas.openxmlformats.org/officeDocument/2006/relationships/hyperlink" Target="https://search.naver.com/search.naver?query=%ED%95%9C%ED%99%94%EC%86%90%EB%B3%B4%20LIFEPLUS%203N5%20%EA%B0%84%ED%8E%B8%EA%B1%B4%EA%B0%95%EB%B3%B4%20%28%EA%B0%90%EC%95%A1%EB%B0%8F%EB%A9%B4%EC%B1%85%EC%97%86%EC%9D%8C%29%EC%95%94%28%ED%8A%B9%20%EC%95%BD%EA%B4%80%20%EB%B3%B4%EC%9E%A5%EB%82%B4%EC%9A%A9" TargetMode="External" Id="rId18"/><Relationship Type="http://schemas.openxmlformats.org/officeDocument/2006/relationships/hyperlink" Target="https://search.naver.com/search.naver?query=%ED%95%9C%ED%99%94%EC%86%90%EB%B3%B4%20LIFEPLUS%203N5%20%EA%B0%84%ED%8E%B8%EA%B1%B4%EA%B0%95%EB%B3%B4%20%28%EA%B0%90%EC%95%A1%EB%B0%8F%EB%A9%B4%EC%B1%85%EC%97%86%EC%9D%8C%29%EC%95%94%28%ED%8A%B9%20%EC%95%BD%EA%B4%80%20%EB%B3%B4%EC%9E%A5%EB%82%B4%EC%9A%A9" TargetMode="External" Id="rId19"/><Relationship Type="http://schemas.openxmlformats.org/officeDocument/2006/relationships/hyperlink" Target="https://search.naver.com/search.naver?query=%ED%95%9C%ED%99%94%EC%86%90%EB%B3%B4%20LIFEPLUS%203N5%20%EA%B0%84%ED%8E%B8%EA%B1%B4%EA%B0%95%EB%B3%B4%20%28%EA%B0%90%EC%95%A1%EB%B0%8F%EB%A9%B4%EC%B1%85%EC%97%86%EC%9D%8C%29%EC%95%94%28%ED%8A%B9%20%EC%95%BD%EA%B4%80%20%EB%B3%B4%EC%9E%A5%EB%82%B4%EC%9A%A9" TargetMode="External" Id="rId20"/><Relationship Type="http://schemas.openxmlformats.org/officeDocument/2006/relationships/hyperlink" Target="https://search.naver.com/search.naver?query=%ED%95%9C%ED%99%94%EC%86%90%EB%B3%B4%20LIFEPLUS%203N5%20%EA%B0%84%ED%8E%B8%EA%B1%B4%EA%B0%95%EB%B3%B4%20%28%EA%B0%90%EC%95%A1%EB%B0%8F%EB%A9%B4%EC%B1%85%EC%97%86%EC%9D%8C%29%EC%95%94%28%ED%8A%B9%20%EC%95%BD%EA%B4%80%20%EB%B3%B4%EC%9E%A5%EB%82%B4%EC%9A%A9" TargetMode="External" Id="rId21"/><Relationship Type="http://schemas.openxmlformats.org/officeDocument/2006/relationships/hyperlink" Target="https://search.naver.com/search.naver?query=%ED%95%9C%ED%99%94%EC%86%90%EB%B3%B4%20LIFEPLUS%203N5%20%EA%B0%84%ED%8E%B8%EA%B1%B4%EA%B0%95%EB%B3%B4%20%28%EA%B0%90%EC%95%A1%EB%B0%8F%EB%A9%B4%EC%B1%85%EC%97%86%EC%9D%8C%29%EC%95%94%28%ED%8A%B9%20%EC%95%BD%EA%B4%80%20%EB%B3%B4%EC%9E%A5%EB%82%B4%EC%9A%A9" TargetMode="External" Id="rId22"/><Relationship Type="http://schemas.openxmlformats.org/officeDocument/2006/relationships/hyperlink" Target="https://search.naver.com/search.naver?query=%ED%95%9C%ED%99%94%EC%86%90%EB%B3%B4%20LIFEPLUS%203N5%20%EA%B0%84%ED%8E%B8%EA%B1%B4%EA%B0%95%EB%B3%B4%20%28%EA%B0%90%EC%95%A1%EB%B0%8F%EB%A9%B4%EC%B1%85%EC%97%86%EC%9D%8C%29%EC%95%94%28%ED%8A%B9%20%EC%95%BD%EA%B4%80%20%EB%B3%B4%EC%9E%A5%EB%82%B4%EC%9A%A9" TargetMode="External" Id="rId23"/><Relationship Type="http://schemas.openxmlformats.org/officeDocument/2006/relationships/hyperlink" Target="https://search.naver.com/search.naver?query=%ED%95%9C%ED%99%94%EC%86%90%EB%B3%B4%20%ED%95%9C%ED%99%94%203N5%20%EA%B0%84%ED%8E%B8%EA%B1%B4%EA%B0%95%EB%B3%B4%ED%97%98%20%EC%84%B8%EB%A7%8C%EA%B8%B0%ED%98%95%20%EB%B3%B4%ED%97%98%EB%A3%8C%EB%82%A9%EC%9E%85%EB%A9%B4%EC%A0%9C%EB%8C%80%EC%83%81%EB%B3%B4%EC%9E%A5%28%20%EC%95%BD%EA%B4%80%20%EB%B3%B4%EC%9E%A5%EB%82%B4%EC%9A%A9" TargetMode="External" Id="rId24"/><Relationship Type="http://schemas.openxmlformats.org/officeDocument/2006/relationships/hyperlink" Target="https://search.naver.com/search.naver?query=%EC%82%BC%EC%84%B1%ED%99%94%EC%9E%AC%20%EB%AC%B4%EB%B0%B0%EB%8B%B9%20%EC%82%BC%EC%84%B1%ED%99%94%EC%9E%AC%20%EA%B0%84%ED%8E%B8%EB%B3%B4%ED%97%98%20%EC%83%88%EB%A1%9C%EA%B3%A0%EC%B9%A8%20%5B%EA%B0%84%ED%8E%B8%5D%EC%A7%88%EB%B3%91%20%EC%9E%85%EC%9B%90%20%EC%88%98%EC%88%A0%20%EC%95%BD%EA%B4%80%20%EB%B3%B4%EC%9E%A5%EB%82%B4%EC%9A%A9" TargetMode="External" Id="rId25"/><Relationship Type="http://schemas.openxmlformats.org/officeDocument/2006/relationships/hyperlink" Target="https://search.naver.com/search.naver?query=%EC%82%BC%EC%84%B1%ED%99%94%EC%9E%AC%20%EB%AC%B4%EB%B0%B0%EB%8B%B9%20%EC%82%BC%EC%84%B1%ED%99%94%EC%9E%AC%20%EA%B0%84%ED%8E%B8%EB%B3%B4%ED%97%98%20%EC%83%88%EB%A1%9C%EA%B3%A0%EC%B9%A8%20%5B%EA%B0%84%ED%8E%B8%5D4%EB%8C%80%ED%8A%B9%EC%A0%95%EC%A7%88%EB%B3%91%20%EC%B9%98%20%EC%95%BD%EA%B4%80%20%EB%B3%B4%EC%9E%A5%EB%82%B4%EC%9A%A9" TargetMode="External" Id="rId26"/><Relationship Type="http://schemas.openxmlformats.org/officeDocument/2006/relationships/hyperlink" Target="https://search.naver.com/search.naver?query=%EC%82%BC%EC%84%B1%ED%99%94%EC%9E%AC%20%EB%AC%B4%EB%B0%B0%EB%8B%B9%20%EC%82%BC%EC%84%B1%ED%99%94%EC%9E%AC%20%EA%B0%84%ED%8E%B8%EB%B3%B4%ED%97%98%20%EC%83%88%EB%A1%9C%EA%B3%A0%EC%B9%A8%20%5B%EA%B0%84%ED%8E%B8%5D%EC%B6%A9%EC%88%98%EC%97%BC%20%EC%88%98%EC%88%A0%EB%B9%84%28%20%EC%95%BD%EA%B4%80%20%EB%B3%B4%EC%9E%A5%EB%82%B4%EC%9A%A9" TargetMode="External" Id="rId27"/><Relationship Type="http://schemas.openxmlformats.org/officeDocument/2006/relationships/hyperlink" Target="https://search.naver.com/search.naver?query=%EC%82%BC%EC%84%B1%ED%99%94%EC%9E%AC%20%EB%AC%B4%EB%B0%B0%EB%8B%B9%20%EC%82%BC%EC%84%B1%ED%99%94%EC%9E%AC%20%EA%B0%84%ED%8E%B8%EB%B3%B4%ED%97%98%20%EC%83%88%EB%A1%9C%EA%B3%A0%EC%B9%A8%20%5B%EA%B0%84%ED%8E%B8%5D%EC%9D%B8%EA%B3%B5%EA%B4%80%EC%A0%88%EC%B9%98%ED%99%98%20%EC%88%98%20%EC%95%BD%EA%B4%80%20%EB%B3%B4%EC%9E%A5%EB%82%B4%EC%9A%A9" TargetMode="External" Id="rId28"/><Relationship Type="http://schemas.openxmlformats.org/officeDocument/2006/relationships/hyperlink" Target="https://search.naver.com/search.naver?query=%EC%82%BC%EC%84%B1%ED%99%94%EC%9E%AC%20%EB%AC%B4%EB%B0%B0%EB%8B%B9%20%EC%82%BC%EC%84%B1%ED%99%94%EC%9E%AC%20%EA%B0%84%ED%8E%B8%EB%B3%B4%ED%97%98%20%EC%83%88%EB%A1%9C%EA%B3%A0%EC%B9%A8%20%5B%EA%B0%84%ED%8E%B8%5D2%EB%8C%80%EC%A3%BC%EC%9A%94%EA%B8%B0%EA%B4%80%EC%A7%88%EB%B3%91%20%EC%95%BD%EA%B4%80%20%EB%B3%B4%EC%9E%A5%EB%82%B4%EC%9A%A9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99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22" customWidth="1" style="82" min="2" max="2"/>
    <col width="12" customWidth="1" style="82" min="3" max="7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.5" customWidth="1" style="82" min="11" max="11"/>
    <col width="11.3984375" customWidth="1" style="82" min="12" max="18"/>
  </cols>
  <sheetData>
    <row r="1" ht="38.25" customHeight="1" s="82">
      <c r="A1" s="152" t="inlineStr">
        <is>
          <t>송슬기 보장진단</t>
        </is>
      </c>
      <c r="B1" s="153" t="n"/>
      <c r="C1" s="154" t="inlineStr">
        <is>
          <t>메리츠화재
(무) 알파Plus보장보험1901
[비갱신]</t>
        </is>
      </c>
      <c r="D1" s="155" t="inlineStr">
        <is>
          <t>한화손보
무배당 한화실손의료보험(갱신형)Ⅱ1804
[갱신]
(3세대 실손)</t>
        </is>
      </c>
      <c r="E1" s="155" t="inlineStr">
        <is>
          <t>한화손보
한화 3N5 WELL100 간편건강보험(연만기 갱신형)2310 무배당
[갱신]</t>
        </is>
      </c>
      <c r="F1" s="154" t="inlineStr">
        <is>
          <t>한화손보
한화 시그니처 여성 355간편건강보험2310 무배당
[비갱신]</t>
        </is>
      </c>
      <c r="G1" s="154" t="inlineStr">
        <is>
          <t>한화손보
LIFEPLUS 3N5 간편건강보험(세만기형) 무배당2405
[비갱신]</t>
        </is>
      </c>
      <c r="H1" s="154" t="inlineStr">
        <is>
          <t>한화손보
한화 3N5 간편건강보험(세만기형) 무배당
[비갱신]</t>
        </is>
      </c>
      <c r="I1" s="154" t="inlineStr">
        <is>
          <t>삼성화재
무배당 삼성화재 간편보험 새로고침100세(2404.3) 1종(납입면제형)
[비갱신]</t>
        </is>
      </c>
      <c r="J1" s="156" t="inlineStr">
        <is>
          <t>합계</t>
        </is>
      </c>
    </row>
    <row r="2" ht="16.5" customHeight="1" s="82">
      <c r="A2" s="157" t="inlineStr">
        <is>
          <t>보험료</t>
        </is>
      </c>
      <c r="B2" s="158" t="n"/>
      <c r="C2" s="159" t="n">
        <v>46500</v>
      </c>
      <c r="D2" s="160" t="n"/>
      <c r="E2" s="161" t="n">
        <v>76474</v>
      </c>
      <c r="F2" s="159" t="n">
        <v>57206</v>
      </c>
      <c r="G2" s="159" t="n">
        <v>31649</v>
      </c>
      <c r="H2" s="159" t="n">
        <v>85420</v>
      </c>
      <c r="I2" s="159" t="n">
        <v>73000</v>
      </c>
      <c r="J2" s="162">
        <f>SUM(C2:I2)</f>
        <v>370249</v>
      </c>
    </row>
    <row r="3" ht="16.5" customHeight="1" s="82">
      <c r="A3" s="163" t="inlineStr">
        <is>
          <t>가입년일</t>
        </is>
      </c>
      <c r="B3" s="158" t="n"/>
      <c r="C3" s="164" t="inlineStr">
        <is>
          <t>2019.03.15</t>
        </is>
      </c>
      <c r="D3" s="160" t="inlineStr">
        <is>
          <t>2022.09.17</t>
        </is>
      </c>
      <c r="E3" s="160" t="inlineStr">
        <is>
          <t>2023.11.28</t>
        </is>
      </c>
      <c r="F3" s="164" t="inlineStr">
        <is>
          <t>2024.01.29</t>
        </is>
      </c>
      <c r="G3" s="164" t="inlineStr">
        <is>
          <t>2024.06.12</t>
        </is>
      </c>
      <c r="H3" s="164" t="inlineStr">
        <is>
          <t>2025.03.26</t>
        </is>
      </c>
      <c r="I3" s="164" t="inlineStr">
        <is>
          <t>2024.08.14</t>
        </is>
      </c>
      <c r="J3" s="165" t="n"/>
    </row>
    <row r="4" ht="16.5" customHeight="1" s="82">
      <c r="A4" s="163" t="inlineStr">
        <is>
          <t>만기일자</t>
        </is>
      </c>
      <c r="B4" s="158" t="n"/>
      <c r="C4" s="164" t="inlineStr">
        <is>
          <t>2087.03.15</t>
        </is>
      </c>
      <c r="D4" s="160" t="inlineStr">
        <is>
          <t>2022.09.18</t>
        </is>
      </c>
      <c r="E4" s="160" t="inlineStr">
        <is>
          <t>2043.11.28</t>
        </is>
      </c>
      <c r="F4" s="164" t="inlineStr">
        <is>
          <t>2087.01.29</t>
        </is>
      </c>
      <c r="G4" s="164" t="inlineStr">
        <is>
          <t>2077.06.12</t>
        </is>
      </c>
      <c r="H4" s="164" t="inlineStr">
        <is>
          <t>2077.03.26</t>
        </is>
      </c>
      <c r="I4" s="164" t="inlineStr">
        <is>
          <t>2077.08.14</t>
        </is>
      </c>
      <c r="J4" s="165" t="n"/>
    </row>
    <row r="5" ht="17.25" customHeight="1" s="82">
      <c r="A5" s="163" t="inlineStr">
        <is>
          <t>총납입기간</t>
        </is>
      </c>
      <c r="B5" s="158" t="n"/>
      <c r="C5" s="164" t="inlineStr">
        <is>
          <t>30년납 (88/360)</t>
        </is>
      </c>
      <c r="D5" s="160" t="inlineStr">
        <is>
          <t>25년납 ()</t>
        </is>
      </c>
      <c r="E5" s="160" t="inlineStr">
        <is>
          <t>20년납 (31/240)</t>
        </is>
      </c>
      <c r="F5" s="164" t="inlineStr">
        <is>
          <t>20년납 (29/240)</t>
        </is>
      </c>
      <c r="G5" s="164" t="inlineStr">
        <is>
          <t>20년납 (25/240)</t>
        </is>
      </c>
      <c r="H5" s="164" t="inlineStr">
        <is>
          <t>20년납 (15/240)</t>
        </is>
      </c>
      <c r="I5" s="164" t="inlineStr">
        <is>
          <t>53년납 (23/636)</t>
        </is>
      </c>
      <c r="J5" s="165" t="n"/>
    </row>
    <row r="6" ht="16.5" customHeight="1" s="82">
      <c r="A6" s="166" t="inlineStr">
        <is>
          <t>사망</t>
        </is>
      </c>
      <c r="B6" s="167" t="inlineStr">
        <is>
          <t>일반사망</t>
        </is>
      </c>
      <c r="C6" s="168" t="n"/>
      <c r="D6" s="168" t="n"/>
      <c r="E6" s="168" t="n"/>
      <c r="F6" s="168" t="n"/>
      <c r="G6" s="168" t="n"/>
      <c r="H6" s="168" t="n"/>
      <c r="I6" s="168" t="n"/>
      <c r="J6" s="169">
        <f>SUM(C6:I6)</f>
        <v>0</v>
      </c>
    </row>
    <row r="7" ht="17.25" customHeight="1" s="82">
      <c r="A7" s="170" t="n"/>
      <c r="B7" s="171" t="inlineStr">
        <is>
          <t>중대한CI적용</t>
        </is>
      </c>
      <c r="C7" s="172" t="n"/>
      <c r="D7" s="172" t="n"/>
      <c r="E7" s="172" t="n"/>
      <c r="F7" s="172" t="n"/>
      <c r="G7" s="172" t="n"/>
      <c r="H7" s="172" t="n"/>
      <c r="I7" s="172" t="n"/>
      <c r="J7" s="173">
        <f>SUM(C7:I7)</f>
        <v>0</v>
      </c>
    </row>
    <row r="8" ht="17.25" customHeight="1" s="82">
      <c r="A8" s="170" t="n"/>
      <c r="B8" s="174" t="inlineStr">
        <is>
          <t>질병사망(80세)</t>
        </is>
      </c>
      <c r="C8" s="172" t="n"/>
      <c r="D8" s="172" t="n"/>
      <c r="E8" s="172" t="n"/>
      <c r="F8" s="172" t="n"/>
      <c r="G8" s="172" t="n"/>
      <c r="H8" s="172" t="n"/>
      <c r="I8" s="172" t="n"/>
      <c r="J8" s="173">
        <f>SUM(C8:I8)</f>
        <v>0</v>
      </c>
    </row>
    <row r="9" ht="16.5" customHeight="1" s="82">
      <c r="A9" s="170" t="n"/>
      <c r="B9" s="174" t="inlineStr">
        <is>
          <t>교통상해사망</t>
        </is>
      </c>
      <c r="C9" s="172" t="n"/>
      <c r="D9" s="172" t="n"/>
      <c r="E9" s="172" t="n"/>
      <c r="F9" s="172" t="n"/>
      <c r="G9" s="172" t="n"/>
      <c r="H9" s="172" t="n"/>
      <c r="I9" s="172" t="n"/>
      <c r="J9" s="173">
        <f>SUM(C9:I9)</f>
        <v>0</v>
      </c>
    </row>
    <row r="10" ht="17.25" customHeight="1" s="82">
      <c r="A10" s="175" t="n"/>
      <c r="B10" s="176" t="inlineStr">
        <is>
          <t>상해사망</t>
        </is>
      </c>
      <c r="C10" s="159" t="n">
        <v>3000</v>
      </c>
      <c r="D10" s="177" t="n"/>
      <c r="E10" s="161" t="n">
        <v>5000</v>
      </c>
      <c r="F10" s="159" t="n">
        <v>5000</v>
      </c>
      <c r="G10" s="159" t="n">
        <v>5000</v>
      </c>
      <c r="H10" s="177" t="n"/>
      <c r="I10" s="159" t="n">
        <v>1000</v>
      </c>
      <c r="J10" s="162">
        <f>SUM(C10:I10)</f>
        <v>19000</v>
      </c>
    </row>
    <row r="11" ht="16.5" customHeight="1" s="82">
      <c r="A11" s="178" t="inlineStr">
        <is>
          <t>후유장애</t>
        </is>
      </c>
      <c r="B11" s="174" t="inlineStr">
        <is>
          <t>상해후유3%</t>
        </is>
      </c>
      <c r="C11" s="179" t="n">
        <v>2000</v>
      </c>
      <c r="D11" s="172" t="n"/>
      <c r="E11" s="172" t="n"/>
      <c r="F11" s="172" t="n"/>
      <c r="G11" s="172" t="n"/>
      <c r="H11" s="172" t="n"/>
      <c r="I11" s="172" t="n"/>
      <c r="J11" s="173">
        <f>SUM(C11:I11)</f>
        <v>2000</v>
      </c>
    </row>
    <row r="12" ht="16.5" customHeight="1" s="82">
      <c r="A12" s="170" t="n"/>
      <c r="B12" s="174" t="inlineStr">
        <is>
          <t>상해후유80%</t>
        </is>
      </c>
      <c r="C12" s="179" t="n">
        <v>1000</v>
      </c>
      <c r="D12" s="172" t="n"/>
      <c r="E12" s="180" t="n">
        <v>100</v>
      </c>
      <c r="F12" s="179" t="n">
        <v>100</v>
      </c>
      <c r="G12" s="179" t="n">
        <v>100</v>
      </c>
      <c r="H12" s="179" t="n">
        <v>2700</v>
      </c>
      <c r="I12" s="172" t="n"/>
      <c r="J12" s="173">
        <f>SUM(C12:I12)</f>
        <v>4000</v>
      </c>
    </row>
    <row r="13" ht="16.5" customHeight="1" s="82">
      <c r="A13" s="170" t="n"/>
      <c r="B13" s="174" t="inlineStr">
        <is>
          <t>질병후유3%</t>
        </is>
      </c>
      <c r="C13" s="179" t="n">
        <v>3000</v>
      </c>
      <c r="D13" s="172" t="n"/>
      <c r="E13" s="180" t="n">
        <v>50</v>
      </c>
      <c r="F13" s="172" t="n"/>
      <c r="G13" s="172" t="n"/>
      <c r="H13" s="172" t="n"/>
      <c r="I13" s="172" t="n"/>
      <c r="J13" s="173">
        <f>SUM(C13:I13)</f>
        <v>3050</v>
      </c>
    </row>
    <row r="14" ht="17.25" customHeight="1" s="82">
      <c r="A14" s="175" t="n"/>
      <c r="B14" s="176" t="inlineStr">
        <is>
          <t>질병후유80%</t>
        </is>
      </c>
      <c r="C14" s="159" t="n">
        <v>100</v>
      </c>
      <c r="D14" s="177" t="n"/>
      <c r="E14" s="161" t="n">
        <v>500</v>
      </c>
      <c r="F14" s="177" t="n"/>
      <c r="G14" s="177" t="n"/>
      <c r="H14" s="177" t="n"/>
      <c r="I14" s="177" t="n"/>
      <c r="J14" s="162">
        <f>SUM(C14:I14)</f>
        <v>600</v>
      </c>
    </row>
    <row r="15" ht="17.25" customHeight="1" s="82">
      <c r="A15" s="178" t="inlineStr">
        <is>
          <t>암</t>
        </is>
      </c>
      <c r="B15" s="174" t="inlineStr">
        <is>
          <t>고액암</t>
        </is>
      </c>
      <c r="C15" s="172" t="n"/>
      <c r="D15" s="172" t="n"/>
      <c r="E15" s="172" t="n"/>
      <c r="F15" s="172" t="n"/>
      <c r="G15" s="172" t="n"/>
      <c r="H15" s="172" t="n"/>
      <c r="I15" s="172" t="n"/>
      <c r="J15" s="173">
        <f>SUM(C15:I15)</f>
        <v>0</v>
      </c>
    </row>
    <row r="16" ht="16.5" customHeight="1" s="82">
      <c r="A16" s="170" t="n"/>
      <c r="B16" s="171" t="inlineStr">
        <is>
          <t>일반암</t>
        </is>
      </c>
      <c r="C16" s="172" t="n"/>
      <c r="D16" s="172" t="n"/>
      <c r="E16" s="172" t="n"/>
      <c r="F16" s="179" t="n">
        <v>18000</v>
      </c>
      <c r="G16" s="172" t="n"/>
      <c r="H16" s="179" t="n">
        <v>2000</v>
      </c>
      <c r="I16" s="172" t="n"/>
      <c r="J16" s="173">
        <f>SUM(C16:I16)</f>
        <v>20000</v>
      </c>
    </row>
    <row r="17" ht="17.25" customHeight="1" s="82">
      <c r="A17" s="170" t="n"/>
      <c r="B17" s="171" t="inlineStr">
        <is>
          <t>중대한 암</t>
        </is>
      </c>
      <c r="C17" s="172" t="n"/>
      <c r="D17" s="172" t="n"/>
      <c r="E17" s="172" t="n"/>
      <c r="F17" s="172" t="n"/>
      <c r="G17" s="172" t="n"/>
      <c r="H17" s="172" t="n"/>
      <c r="I17" s="172" t="n"/>
      <c r="J17" s="173">
        <f>SUM(C17:I17)</f>
        <v>0</v>
      </c>
    </row>
    <row r="18" ht="16.5" customHeight="1" s="82">
      <c r="A18" s="170" t="n"/>
      <c r="B18" s="174" t="inlineStr">
        <is>
          <t>유사암(갑.기.경.제)</t>
        </is>
      </c>
      <c r="C18" s="172" t="n"/>
      <c r="D18" s="172" t="n"/>
      <c r="E18" s="172" t="n"/>
      <c r="F18" s="179" t="n">
        <v>2300</v>
      </c>
      <c r="G18" s="172" t="n"/>
      <c r="H18" s="179" t="n">
        <v>1600</v>
      </c>
      <c r="I18" s="172" t="n"/>
      <c r="J18" s="173">
        <f>SUM(C18:I18)</f>
        <v>3900</v>
      </c>
    </row>
    <row r="19" ht="16.5" customHeight="1" s="82">
      <c r="A19" s="170" t="n"/>
      <c r="B19" s="174" t="inlineStr">
        <is>
          <t>통합전이암</t>
        </is>
      </c>
      <c r="C19" s="172" t="n"/>
      <c r="D19" s="172" t="n"/>
      <c r="E19" s="172" t="n"/>
      <c r="F19" s="179" t="n">
        <v>2000</v>
      </c>
      <c r="G19" s="172" t="n"/>
      <c r="H19" s="172" t="n"/>
      <c r="I19" s="172" t="n"/>
      <c r="J19" s="173">
        <f>SUM(C19:I19)</f>
        <v>2000</v>
      </c>
    </row>
    <row r="20" ht="16.5" customHeight="1" s="82">
      <c r="A20" s="170" t="n"/>
      <c r="B20" s="174" t="inlineStr">
        <is>
          <t>암주요치료비</t>
        </is>
      </c>
      <c r="C20" s="181" t="n"/>
      <c r="D20" s="181" t="n"/>
      <c r="E20" s="181" t="n"/>
      <c r="F20" s="181" t="n"/>
      <c r="G20" s="181" t="n"/>
      <c r="H20" s="181" t="n"/>
      <c r="I20" s="172" t="n"/>
      <c r="J20" s="173">
        <f>SUM(C20:I20)</f>
        <v>0</v>
      </c>
    </row>
    <row r="21" ht="16.5" customHeight="1" s="82">
      <c r="A21" s="170" t="n"/>
      <c r="B21" s="174" t="inlineStr">
        <is>
          <t>하이클래스(암)</t>
        </is>
      </c>
      <c r="C21" s="172" t="n"/>
      <c r="D21" s="172" t="n"/>
      <c r="E21" s="172" t="n"/>
      <c r="F21" s="172" t="n"/>
      <c r="G21" s="172" t="n"/>
      <c r="H21" s="172" t="n"/>
      <c r="I21" s="172" t="n"/>
      <c r="J21" s="173">
        <f>SUM(C21:I21)</f>
        <v>0</v>
      </c>
    </row>
    <row r="22" ht="16.5" customHeight="1" s="82">
      <c r="A22" s="170" t="n"/>
      <c r="B22" s="174" t="inlineStr">
        <is>
          <t>중입자치료비</t>
        </is>
      </c>
      <c r="C22" s="181" t="n"/>
      <c r="D22" s="181" t="n"/>
      <c r="E22" s="181" t="n"/>
      <c r="F22" s="181" t="n"/>
      <c r="G22" s="181" t="n"/>
      <c r="H22" s="181" t="n"/>
      <c r="I22" s="172" t="n"/>
      <c r="J22" s="173">
        <f>IF(COUNT(C22:I22)=0,0,MAX(C22:I22))</f>
        <v>0</v>
      </c>
    </row>
    <row r="23" ht="16.5" customHeight="1" s="82">
      <c r="A23" s="170" t="n"/>
      <c r="B23" s="174" t="inlineStr">
        <is>
          <t>표적항암치료비</t>
        </is>
      </c>
      <c r="C23" s="181" t="n"/>
      <c r="D23" s="181" t="n"/>
      <c r="E23" s="181" t="n"/>
      <c r="F23" s="181" t="n"/>
      <c r="G23" s="181" t="n"/>
      <c r="H23" s="181" t="n"/>
      <c r="I23" s="172" t="n"/>
      <c r="J23" s="173">
        <f>SUM(C23:I23)</f>
        <v>0</v>
      </c>
    </row>
    <row r="24" ht="16.5" customHeight="1" s="82">
      <c r="A24" s="170" t="n"/>
      <c r="B24" s="174" t="inlineStr">
        <is>
          <t>양성자치료</t>
        </is>
      </c>
      <c r="C24" s="181" t="n"/>
      <c r="D24" s="181" t="n"/>
      <c r="E24" s="180" t="n">
        <v>100</v>
      </c>
      <c r="F24" s="181" t="n"/>
      <c r="G24" s="181" t="n"/>
      <c r="H24" s="181" t="n"/>
      <c r="I24" s="172" t="n"/>
      <c r="J24" s="173">
        <f>SUM(C24:I24)</f>
        <v>100</v>
      </c>
    </row>
    <row r="25" ht="16.5" customHeight="1" s="82">
      <c r="A25" s="170" t="n"/>
      <c r="B25" s="174" t="inlineStr">
        <is>
          <t>세기조절치료</t>
        </is>
      </c>
      <c r="C25" s="181" t="n"/>
      <c r="D25" s="181" t="n"/>
      <c r="E25" s="180" t="n">
        <v>100</v>
      </c>
      <c r="F25" s="181" t="n"/>
      <c r="G25" s="181" t="n"/>
      <c r="H25" s="181" t="n"/>
      <c r="I25" s="172" t="n"/>
      <c r="J25" s="173">
        <f>SUM(C25:I25)</f>
        <v>100</v>
      </c>
    </row>
    <row r="26" ht="16.5" customHeight="1" s="82">
      <c r="A26" s="170" t="n"/>
      <c r="B26" s="174" t="inlineStr">
        <is>
          <t>다빈치로봇수술비</t>
        </is>
      </c>
      <c r="C26" s="181" t="n"/>
      <c r="D26" s="181" t="n"/>
      <c r="E26" s="180" t="n">
        <v>1500</v>
      </c>
      <c r="F26" s="181" t="n"/>
      <c r="G26" s="181" t="n"/>
      <c r="H26" s="181" t="n"/>
      <c r="I26" s="172" t="n"/>
      <c r="J26" s="173">
        <f>SUM(C26:I26)</f>
        <v>1500</v>
      </c>
    </row>
    <row r="27" ht="16.5" customHeight="1" s="82">
      <c r="A27" s="170" t="n"/>
      <c r="B27" s="174" t="inlineStr">
        <is>
          <t>암수술</t>
        </is>
      </c>
      <c r="C27" s="172" t="n"/>
      <c r="D27" s="172" t="n"/>
      <c r="E27" s="180" t="n">
        <v>1000</v>
      </c>
      <c r="F27" s="172" t="n"/>
      <c r="G27" s="172" t="n"/>
      <c r="H27" s="172" t="n"/>
      <c r="I27" s="172" t="n"/>
      <c r="J27" s="173">
        <f>SUM(C27:I27)</f>
        <v>1000</v>
      </c>
    </row>
    <row r="28" ht="17.25" customHeight="1" s="82">
      <c r="A28" s="170" t="n"/>
      <c r="B28" s="174" t="inlineStr">
        <is>
          <t>암일당</t>
        </is>
      </c>
      <c r="C28" s="172" t="n"/>
      <c r="D28" s="172" t="n"/>
      <c r="E28" s="172" t="n"/>
      <c r="F28" s="172" t="n"/>
      <c r="G28" s="172" t="n"/>
      <c r="H28" s="172" t="n"/>
      <c r="I28" s="172" t="n"/>
      <c r="J28" s="173">
        <f>SUM(C28:I28)</f>
        <v>0</v>
      </c>
    </row>
    <row r="29" ht="17.25" customHeight="1" s="82">
      <c r="A29" s="175" t="n"/>
      <c r="B29" s="176" t="inlineStr">
        <is>
          <t>항암방사선약물</t>
        </is>
      </c>
      <c r="C29" s="177" t="n"/>
      <c r="D29" s="177" t="n"/>
      <c r="E29" s="161" t="n">
        <v>500</v>
      </c>
      <c r="F29" s="177" t="n"/>
      <c r="G29" s="177" t="n"/>
      <c r="H29" s="177" t="n"/>
      <c r="I29" s="177" t="n"/>
      <c r="J29" s="162">
        <f>SUM(C29:I29)</f>
        <v>500</v>
      </c>
    </row>
    <row r="30" ht="16.5" customHeight="1" s="82">
      <c r="A30" s="178" t="inlineStr">
        <is>
          <t>뇌혈관</t>
        </is>
      </c>
      <c r="B30" s="174" t="inlineStr">
        <is>
          <t>뇌혈관진단비</t>
        </is>
      </c>
      <c r="C30" s="172" t="n"/>
      <c r="D30" s="172" t="n"/>
      <c r="E30" s="180" t="n">
        <v>100</v>
      </c>
      <c r="F30" s="172" t="n"/>
      <c r="G30" s="172" t="n"/>
      <c r="H30" s="172" t="n"/>
      <c r="I30" s="172" t="n"/>
      <c r="J30" s="173">
        <f>SUM(C30:I30)</f>
        <v>100</v>
      </c>
    </row>
    <row r="31" ht="17.25" customHeight="1" s="82">
      <c r="A31" s="170" t="n"/>
      <c r="B31" s="171" t="inlineStr">
        <is>
          <t>뇌졸증진단비</t>
        </is>
      </c>
      <c r="C31" s="172" t="n"/>
      <c r="D31" s="172" t="n"/>
      <c r="E31" s="180" t="n">
        <v>1000</v>
      </c>
      <c r="F31" s="172" t="n"/>
      <c r="G31" s="172" t="n"/>
      <c r="H31" s="172" t="n"/>
      <c r="I31" s="172" t="n"/>
      <c r="J31" s="173">
        <f>SUM(C31:I31)</f>
        <v>1000</v>
      </c>
    </row>
    <row r="32" ht="16.5" customHeight="1" s="82">
      <c r="A32" s="170" t="n"/>
      <c r="B32" s="171" t="inlineStr">
        <is>
          <t>중대한 뇌졸증</t>
        </is>
      </c>
      <c r="C32" s="172" t="n"/>
      <c r="D32" s="172" t="n"/>
      <c r="E32" s="172" t="n"/>
      <c r="F32" s="172" t="n"/>
      <c r="G32" s="172" t="n"/>
      <c r="H32" s="172" t="n"/>
      <c r="I32" s="172" t="n"/>
      <c r="J32" s="173">
        <f>SUM(C32:I32)</f>
        <v>0</v>
      </c>
    </row>
    <row r="33" ht="16.5" customHeight="1" s="82">
      <c r="A33" s="170" t="n"/>
      <c r="B33" s="174" t="inlineStr">
        <is>
          <t>뇌출혈진단비</t>
        </is>
      </c>
      <c r="C33" s="172" t="n"/>
      <c r="D33" s="172" t="n"/>
      <c r="E33" s="180" t="n">
        <v>500</v>
      </c>
      <c r="F33" s="172" t="n"/>
      <c r="G33" s="172" t="n"/>
      <c r="H33" s="172" t="n"/>
      <c r="I33" s="172" t="n"/>
      <c r="J33" s="173">
        <f>SUM(C33:I33)</f>
        <v>500</v>
      </c>
    </row>
    <row r="34" ht="16.5" customHeight="1" s="82">
      <c r="A34" s="170" t="n"/>
      <c r="B34" s="174" t="inlineStr">
        <is>
          <t>외상성뇌출혈</t>
        </is>
      </c>
      <c r="C34" s="172" t="n"/>
      <c r="D34" s="172" t="n"/>
      <c r="E34" s="172" t="n"/>
      <c r="F34" s="172" t="n"/>
      <c r="G34" s="172" t="n"/>
      <c r="H34" s="172" t="n"/>
      <c r="I34" s="172" t="n"/>
      <c r="J34" s="173">
        <f>SUM(C34:I34)</f>
        <v>0</v>
      </c>
    </row>
    <row r="35" ht="16.5" customHeight="1" s="82">
      <c r="A35" s="170" t="n"/>
      <c r="B35" s="174" t="inlineStr">
        <is>
          <t>산정특례뇌혈관</t>
        </is>
      </c>
      <c r="C35" s="172" t="n"/>
      <c r="D35" s="172" t="n"/>
      <c r="E35" s="172" t="n"/>
      <c r="F35" s="172" t="n"/>
      <c r="G35" s="172" t="n"/>
      <c r="H35" s="172" t="n"/>
      <c r="I35" s="172" t="n"/>
      <c r="J35" s="173">
        <f>SUM(C35:I35)</f>
        <v>0</v>
      </c>
    </row>
    <row r="36" ht="16.5" customHeight="1" s="82">
      <c r="A36" s="170" t="n"/>
      <c r="B36" s="174" t="inlineStr">
        <is>
          <t>2대 주요치료비</t>
        </is>
      </c>
      <c r="C36" s="172" t="n"/>
      <c r="D36" s="172" t="n"/>
      <c r="E36" s="172" t="n"/>
      <c r="F36" s="172" t="n"/>
      <c r="G36" s="172" t="n"/>
      <c r="H36" s="172" t="n"/>
      <c r="I36" s="172" t="n"/>
      <c r="J36" s="173">
        <f>SUM(C36:I36)</f>
        <v>0</v>
      </c>
    </row>
    <row r="37" ht="16.5" customHeight="1" s="82">
      <c r="A37" s="175" t="n"/>
      <c r="B37" s="176" t="inlineStr">
        <is>
          <t>혈전용해치료비</t>
        </is>
      </c>
      <c r="C37" s="177" t="n"/>
      <c r="D37" s="177" t="n"/>
      <c r="E37" s="177" t="n"/>
      <c r="F37" s="177" t="n"/>
      <c r="G37" s="177" t="n"/>
      <c r="H37" s="177" t="n"/>
      <c r="I37" s="177" t="n"/>
      <c r="J37" s="162">
        <f>SUM(C37:I37)</f>
        <v>0</v>
      </c>
    </row>
    <row r="38" ht="16.5" customHeight="1" s="82">
      <c r="A38" s="178" t="inlineStr">
        <is>
          <t>심장</t>
        </is>
      </c>
      <c r="B38" s="174" t="inlineStr">
        <is>
          <t>협심증</t>
        </is>
      </c>
      <c r="C38" s="172" t="n"/>
      <c r="D38" s="172" t="n"/>
      <c r="E38" s="180" t="n">
        <v>1000</v>
      </c>
      <c r="F38" s="172" t="n"/>
      <c r="G38" s="172" t="n"/>
      <c r="H38" s="172" t="n"/>
      <c r="I38" s="172" t="n"/>
      <c r="J38" s="173">
        <f>SUM(C38:I38)</f>
        <v>1000</v>
      </c>
    </row>
    <row r="39" ht="16.5" customHeight="1" s="82">
      <c r="A39" s="170" t="n"/>
      <c r="B39" s="174" t="inlineStr">
        <is>
          <t>심부전</t>
        </is>
      </c>
      <c r="C39" s="172" t="n"/>
      <c r="D39" s="172" t="n"/>
      <c r="E39" s="180" t="n">
        <v>1000</v>
      </c>
      <c r="F39" s="172" t="n"/>
      <c r="G39" s="172" t="n"/>
      <c r="H39" s="172" t="n"/>
      <c r="I39" s="172" t="n"/>
      <c r="J39" s="173">
        <f>SUM(C39:I39)</f>
        <v>1000</v>
      </c>
    </row>
    <row r="40" ht="16.5" customHeight="1" s="82">
      <c r="A40" s="170" t="n"/>
      <c r="B40" s="174" t="inlineStr">
        <is>
          <t>빈맥</t>
        </is>
      </c>
      <c r="C40" s="172" t="n"/>
      <c r="D40" s="172" t="n"/>
      <c r="E40" s="180" t="n">
        <v>1000</v>
      </c>
      <c r="F40" s="172" t="n"/>
      <c r="G40" s="172" t="n"/>
      <c r="H40" s="172" t="n"/>
      <c r="I40" s="172" t="n"/>
      <c r="J40" s="173">
        <f>SUM(C40:I40)</f>
        <v>1000</v>
      </c>
    </row>
    <row r="41" ht="17.25" customHeight="1" s="82">
      <c r="A41" s="170" t="n"/>
      <c r="B41" s="174" t="inlineStr">
        <is>
          <t>염증</t>
        </is>
      </c>
      <c r="C41" s="172" t="n"/>
      <c r="D41" s="172" t="n"/>
      <c r="E41" s="172" t="n"/>
      <c r="F41" s="172" t="n"/>
      <c r="G41" s="172" t="n"/>
      <c r="H41" s="172" t="n"/>
      <c r="I41" s="172" t="n"/>
      <c r="J41" s="173">
        <f>SUM(C41:I41)</f>
        <v>0</v>
      </c>
    </row>
    <row r="42" ht="16.5" customHeight="1" s="82">
      <c r="A42" s="170" t="n"/>
      <c r="B42" s="174" t="inlineStr">
        <is>
          <t>부정맥</t>
        </is>
      </c>
      <c r="C42" s="172" t="n"/>
      <c r="D42" s="172" t="n"/>
      <c r="E42" s="180" t="n">
        <v>1000</v>
      </c>
      <c r="F42" s="172" t="n"/>
      <c r="G42" s="172" t="n"/>
      <c r="H42" s="172" t="n"/>
      <c r="I42" s="172" t="n"/>
      <c r="J42" s="173">
        <f>SUM(C42:I42)</f>
        <v>1000</v>
      </c>
    </row>
    <row r="43" ht="16.5" customHeight="1" s="82">
      <c r="A43" s="170" t="n"/>
      <c r="B43" s="174" t="inlineStr">
        <is>
          <t>심근병증</t>
        </is>
      </c>
      <c r="C43" s="182" t="n"/>
      <c r="D43" s="182" t="n"/>
      <c r="E43" s="183" t="n">
        <v>1000</v>
      </c>
      <c r="F43" s="182" t="n"/>
      <c r="G43" s="182" t="n"/>
      <c r="H43" s="182" t="n"/>
      <c r="I43" s="182" t="n"/>
      <c r="J43" s="184">
        <f>SUM(C43:I43)</f>
        <v>1000</v>
      </c>
    </row>
    <row r="44" ht="17.25" customHeight="1" s="82">
      <c r="A44" s="170" t="n"/>
      <c r="B44" s="174" t="inlineStr">
        <is>
          <t>심장판막</t>
        </is>
      </c>
      <c r="C44" s="182" t="n"/>
      <c r="D44" s="182" t="n"/>
      <c r="E44" s="183" t="n">
        <v>100</v>
      </c>
      <c r="F44" s="182" t="n"/>
      <c r="G44" s="182" t="n"/>
      <c r="H44" s="182" t="n"/>
      <c r="I44" s="182" t="n"/>
      <c r="J44" s="184">
        <f>SUM(C44:I44)</f>
        <v>100</v>
      </c>
    </row>
    <row r="45" ht="17.25" customHeight="1" s="82">
      <c r="A45" s="170" t="n"/>
      <c r="B45" s="174" t="inlineStr">
        <is>
          <t>산정특례심장</t>
        </is>
      </c>
      <c r="C45" s="172" t="n"/>
      <c r="D45" s="172" t="n"/>
      <c r="E45" s="172" t="n"/>
      <c r="F45" s="172" t="n"/>
      <c r="G45" s="172" t="n"/>
      <c r="H45" s="172" t="n"/>
      <c r="I45" s="172" t="n"/>
      <c r="J45" s="173">
        <f>SUM(C45:I45)</f>
        <v>0</v>
      </c>
    </row>
    <row r="46" ht="16.5" customHeight="1" s="82">
      <c r="A46" s="170" t="n"/>
      <c r="B46" s="185" t="inlineStr">
        <is>
          <t>2대 주요치료비</t>
        </is>
      </c>
      <c r="C46" s="172" t="n"/>
      <c r="D46" s="172" t="n"/>
      <c r="E46" s="172" t="n"/>
      <c r="F46" s="172" t="n"/>
      <c r="G46" s="172" t="n"/>
      <c r="H46" s="172" t="n"/>
      <c r="I46" s="172" t="n"/>
      <c r="J46" s="173">
        <f>SUM(C46:I46)</f>
        <v>0</v>
      </c>
    </row>
    <row r="47" ht="16.5" customHeight="1" s="82">
      <c r="A47" s="170" t="n"/>
      <c r="B47" s="185" t="inlineStr">
        <is>
          <t>허혈성 진단비</t>
        </is>
      </c>
      <c r="C47" s="172" t="n"/>
      <c r="D47" s="172" t="n"/>
      <c r="E47" s="172" t="n"/>
      <c r="F47" s="172" t="n"/>
      <c r="G47" s="172" t="n"/>
      <c r="H47" s="172" t="n"/>
      <c r="I47" s="172" t="n"/>
      <c r="J47" s="173">
        <f>SUM(C47:I47)</f>
        <v>0</v>
      </c>
    </row>
    <row r="48" ht="16.5" customHeight="1" s="82">
      <c r="A48" s="170" t="n"/>
      <c r="B48" s="171" t="inlineStr">
        <is>
          <t>급성심근경색</t>
        </is>
      </c>
      <c r="C48" s="172" t="n"/>
      <c r="D48" s="172" t="n"/>
      <c r="E48" s="172" t="n"/>
      <c r="F48" s="172" t="n"/>
      <c r="G48" s="172" t="n"/>
      <c r="H48" s="172" t="n"/>
      <c r="I48" s="172" t="n"/>
      <c r="J48" s="173">
        <f>SUM(C48:I48)</f>
        <v>0</v>
      </c>
    </row>
    <row r="49" ht="16.5" customHeight="1" s="82">
      <c r="A49" s="175" t="n"/>
      <c r="B49" s="186" t="inlineStr">
        <is>
          <t>중대한 급성심근</t>
        </is>
      </c>
      <c r="C49" s="177" t="n"/>
      <c r="D49" s="177" t="n"/>
      <c r="E49" s="177" t="n"/>
      <c r="F49" s="177" t="n"/>
      <c r="G49" s="177" t="n"/>
      <c r="H49" s="177" t="n"/>
      <c r="I49" s="177" t="n"/>
      <c r="J49" s="162">
        <f>SUM(C49:I49)</f>
        <v>0</v>
      </c>
    </row>
    <row r="50" ht="16.5" customHeight="1" s="82">
      <c r="A50" s="178" t="inlineStr">
        <is>
          <t>일당</t>
        </is>
      </c>
      <c r="B50" s="174" t="inlineStr">
        <is>
          <t>혈전용해치료비</t>
        </is>
      </c>
      <c r="C50" s="172" t="n"/>
      <c r="D50" s="172" t="n"/>
      <c r="E50" s="172" t="n"/>
      <c r="F50" s="172" t="n"/>
      <c r="G50" s="172" t="n"/>
      <c r="H50" s="172" t="n"/>
      <c r="I50" s="172" t="n"/>
      <c r="J50" s="173">
        <f>SUM(C50:I50)</f>
        <v>0</v>
      </c>
    </row>
    <row r="51" ht="16.5" customHeight="1" s="82">
      <c r="A51" s="170" t="n"/>
      <c r="B51" s="174" t="inlineStr">
        <is>
          <t>질병일당</t>
        </is>
      </c>
      <c r="C51" s="179" t="n">
        <v>3</v>
      </c>
      <c r="D51" s="172" t="n"/>
      <c r="E51" s="180" t="n">
        <v>2</v>
      </c>
      <c r="F51" s="172" t="n"/>
      <c r="G51" s="172" t="n"/>
      <c r="H51" s="172" t="n"/>
      <c r="I51" s="172" t="n"/>
      <c r="J51" s="173">
        <f>SUM(C51:I51)</f>
        <v>5</v>
      </c>
    </row>
    <row r="52" ht="16.5" customHeight="1" s="82">
      <c r="A52" s="170" t="n"/>
      <c r="B52" s="174" t="inlineStr">
        <is>
          <t>질병수술일당</t>
        </is>
      </c>
      <c r="C52" s="172" t="n"/>
      <c r="D52" s="172" t="n"/>
      <c r="E52" s="172" t="n"/>
      <c r="F52" s="172" t="n"/>
      <c r="G52" s="172" t="n"/>
      <c r="H52" s="172" t="n"/>
      <c r="I52" s="172" t="n"/>
      <c r="J52" s="173">
        <f>SUM(C52:I52)</f>
        <v>0</v>
      </c>
    </row>
    <row r="53" ht="16.5" customHeight="1" s="82">
      <c r="A53" s="170" t="n"/>
      <c r="B53" s="174" t="inlineStr">
        <is>
          <t>질병종합병원일당</t>
        </is>
      </c>
      <c r="C53" s="172" t="n"/>
      <c r="D53" s="172" t="n"/>
      <c r="E53" s="172" t="n"/>
      <c r="F53" s="172" t="n"/>
      <c r="G53" s="172" t="n"/>
      <c r="H53" s="172" t="n"/>
      <c r="I53" s="172" t="n"/>
      <c r="J53" s="173">
        <f>SUM(C53:I53)</f>
        <v>0</v>
      </c>
    </row>
    <row r="54" ht="16.5" customHeight="1" s="82">
      <c r="A54" s="170" t="n"/>
      <c r="B54" s="174" t="inlineStr">
        <is>
          <t>상해일당</t>
        </is>
      </c>
      <c r="C54" s="179" t="n">
        <v>3</v>
      </c>
      <c r="D54" s="172" t="n"/>
      <c r="E54" s="172" t="n"/>
      <c r="F54" s="172" t="n"/>
      <c r="G54" s="172" t="n"/>
      <c r="H54" s="179" t="n">
        <v>2</v>
      </c>
      <c r="I54" s="172" t="n"/>
      <c r="J54" s="173">
        <f>SUM(C54:I54)</f>
        <v>5</v>
      </c>
    </row>
    <row r="55" ht="16.5" customHeight="1" s="82">
      <c r="A55" s="170" t="n"/>
      <c r="B55" s="174" t="inlineStr">
        <is>
          <t>상해수술일당</t>
        </is>
      </c>
      <c r="C55" s="172" t="n"/>
      <c r="D55" s="172" t="n"/>
      <c r="E55" s="172" t="n"/>
      <c r="F55" s="172" t="n"/>
      <c r="G55" s="172" t="n"/>
      <c r="H55" s="172" t="n"/>
      <c r="I55" s="172" t="n"/>
      <c r="J55" s="173">
        <f>SUM(C55:I55)</f>
        <v>0</v>
      </c>
    </row>
    <row r="56" ht="16.5" customHeight="1" s="82">
      <c r="A56" s="170" t="n"/>
      <c r="B56" s="174" t="inlineStr">
        <is>
          <t>간병인</t>
        </is>
      </c>
      <c r="C56" s="172" t="n"/>
      <c r="D56" s="172" t="n"/>
      <c r="E56" s="172" t="n"/>
      <c r="F56" s="172" t="n"/>
      <c r="G56" s="172" t="n"/>
      <c r="H56" s="172" t="n"/>
      <c r="I56" s="180" t="n">
        <v>15</v>
      </c>
      <c r="J56" s="173">
        <f>IF(COUNT(C56:I56)=0,0,MAX(C56:I56))</f>
        <v>15</v>
      </c>
    </row>
    <row r="57" ht="16.5" customHeight="1" s="82">
      <c r="A57" s="170" t="n"/>
      <c r="B57" s="174" t="inlineStr">
        <is>
          <t>간병인지원일당</t>
        </is>
      </c>
      <c r="C57" s="172" t="n"/>
      <c r="D57" s="172" t="n"/>
      <c r="E57" s="172" t="n"/>
      <c r="F57" s="172" t="n"/>
      <c r="G57" s="172" t="n"/>
      <c r="H57" s="172" t="n"/>
      <c r="I57" s="172" t="n"/>
      <c r="J57" s="173">
        <f>SUM(C57:I57)</f>
        <v>0</v>
      </c>
    </row>
    <row r="58" ht="16.5" customHeight="1" s="82">
      <c r="A58" s="170" t="n"/>
      <c r="B58" s="174" t="inlineStr">
        <is>
          <t>간호통합병동</t>
        </is>
      </c>
      <c r="C58" s="172" t="n"/>
      <c r="D58" s="172" t="n"/>
      <c r="E58" s="172" t="n"/>
      <c r="F58" s="172" t="n"/>
      <c r="G58" s="172" t="n"/>
      <c r="H58" s="172" t="n"/>
      <c r="I58" s="179" t="n">
        <v>7</v>
      </c>
      <c r="J58" s="173">
        <f>IF(SUM(C58:I58)&gt;0,7,0)</f>
        <v>7</v>
      </c>
    </row>
    <row r="59" ht="16.5" customHeight="1" s="82">
      <c r="A59" s="170" t="n"/>
      <c r="B59" s="185" t="inlineStr">
        <is>
          <t>1인실 종합병원</t>
        </is>
      </c>
      <c r="C59" s="172" t="n"/>
      <c r="D59" s="172" t="n"/>
      <c r="E59" s="172" t="n"/>
      <c r="F59" s="172" t="n"/>
      <c r="G59" s="172" t="n"/>
      <c r="H59" s="172" t="n"/>
      <c r="I59" s="172" t="n"/>
      <c r="J59" s="173">
        <f>SUM(C59:I59)</f>
        <v>0</v>
      </c>
    </row>
    <row r="60" ht="16.5" customHeight="1" s="82">
      <c r="A60" s="170" t="n"/>
      <c r="B60" s="185" t="inlineStr">
        <is>
          <t>1인실 상급병원</t>
        </is>
      </c>
      <c r="C60" s="172" t="n"/>
      <c r="D60" s="172" t="n"/>
      <c r="E60" s="172" t="n"/>
      <c r="F60" s="172" t="n"/>
      <c r="G60" s="172" t="n"/>
      <c r="H60" s="172" t="n"/>
      <c r="I60" s="172" t="n"/>
      <c r="J60" s="173">
        <f>SUM(C60:I60)</f>
        <v>0</v>
      </c>
    </row>
    <row r="61" ht="16.5" customHeight="1" s="82">
      <c r="A61" s="170" t="n"/>
      <c r="B61" s="174" t="inlineStr">
        <is>
          <t>질병중환자실</t>
        </is>
      </c>
      <c r="C61" s="172" t="n"/>
      <c r="D61" s="172" t="n"/>
      <c r="E61" s="180" t="n">
        <v>20</v>
      </c>
      <c r="F61" s="172" t="n"/>
      <c r="G61" s="172" t="n"/>
      <c r="H61" s="172" t="n"/>
      <c r="I61" s="172" t="n"/>
      <c r="J61" s="173">
        <f>SUM(C61:I61)</f>
        <v>20</v>
      </c>
    </row>
    <row r="62" ht="17.25" customHeight="1" s="82">
      <c r="A62" s="175" t="n"/>
      <c r="B62" s="176" t="inlineStr">
        <is>
          <t>상해중환자실</t>
        </is>
      </c>
      <c r="C62" s="177" t="n"/>
      <c r="D62" s="177" t="n"/>
      <c r="E62" s="161" t="n">
        <v>5</v>
      </c>
      <c r="F62" s="177" t="n"/>
      <c r="G62" s="177" t="n"/>
      <c r="H62" s="159" t="n">
        <v>15</v>
      </c>
      <c r="I62" s="159" t="n">
        <v>10</v>
      </c>
      <c r="J62" s="162">
        <f>SUM(C62:I62)</f>
        <v>30</v>
      </c>
    </row>
    <row r="63" ht="17.25" customHeight="1" s="82">
      <c r="A63" s="178" t="inlineStr">
        <is>
          <t>수술</t>
        </is>
      </c>
      <c r="B63" s="174" t="inlineStr">
        <is>
          <t>상해수술비</t>
        </is>
      </c>
      <c r="C63" s="179" t="n">
        <v>50</v>
      </c>
      <c r="D63" s="172" t="n"/>
      <c r="E63" s="180" t="n">
        <v>500</v>
      </c>
      <c r="F63" s="172" t="n"/>
      <c r="G63" s="172" t="n"/>
      <c r="H63" s="172" t="n"/>
      <c r="I63" s="172" t="n"/>
      <c r="J63" s="173">
        <f>SUM(C63:I63)</f>
        <v>550</v>
      </c>
    </row>
    <row r="64" ht="16.5" customHeight="1" s="82">
      <c r="A64" s="170" t="n"/>
      <c r="B64" s="174" t="inlineStr">
        <is>
          <t>중대한상해수술비</t>
        </is>
      </c>
      <c r="C64" s="172" t="n"/>
      <c r="D64" s="172" t="n"/>
      <c r="E64" s="172" t="n"/>
      <c r="F64" s="172" t="n"/>
      <c r="G64" s="172" t="n"/>
      <c r="H64" s="172" t="n"/>
      <c r="I64" s="172" t="n"/>
      <c r="J64" s="173">
        <f>SUM(C64:I64)</f>
        <v>0</v>
      </c>
    </row>
    <row r="65" ht="16.5" customHeight="1" s="82">
      <c r="A65" s="170" t="n"/>
      <c r="B65" s="174" t="inlineStr">
        <is>
          <t>상해 종수술비(1-5종)</t>
        </is>
      </c>
      <c r="C65" s="172" t="n"/>
      <c r="D65" s="172" t="n"/>
      <c r="E65" s="187" t="inlineStr">
        <is>
          <t>3000/100/100/200/400</t>
        </is>
      </c>
      <c r="F65" s="181" t="n"/>
      <c r="G65" s="172" t="n"/>
      <c r="H65" s="172" t="n"/>
      <c r="I65" s="172" t="n"/>
      <c r="J65" s="188" t="inlineStr">
        <is>
          <t>3000/100/100/200/400</t>
        </is>
      </c>
    </row>
    <row r="66" ht="16.5" customHeight="1" s="82">
      <c r="A66" s="170" t="n"/>
      <c r="B66" s="174" t="inlineStr">
        <is>
          <t>상해 종수술비(1-8종)</t>
        </is>
      </c>
      <c r="C66" s="172" t="n"/>
      <c r="D66" s="172" t="n"/>
      <c r="E66" s="172" t="n"/>
      <c r="F66" s="181" t="n"/>
      <c r="G66" s="172" t="n"/>
      <c r="H66" s="172" t="n"/>
      <c r="I66" s="172" t="n"/>
      <c r="J66" s="173">
        <f>SUM(C66:I66)</f>
        <v>0</v>
      </c>
    </row>
    <row r="67" ht="16.5" customHeight="1" s="82">
      <c r="A67" s="170" t="n"/>
      <c r="B67" s="174" t="inlineStr">
        <is>
          <t>창상봉합술</t>
        </is>
      </c>
      <c r="C67" s="172" t="n"/>
      <c r="D67" s="172" t="n"/>
      <c r="E67" s="172" t="n"/>
      <c r="F67" s="172" t="n"/>
      <c r="G67" s="172" t="n"/>
      <c r="H67" s="172" t="n"/>
      <c r="I67" s="179" t="n">
        <v>20</v>
      </c>
      <c r="J67" s="173">
        <f>SUM(C67:I67)</f>
        <v>20</v>
      </c>
    </row>
    <row r="68" ht="17.25" customHeight="1" s="82">
      <c r="A68" s="170" t="n"/>
      <c r="B68" s="174" t="inlineStr">
        <is>
          <t>골절수술비</t>
        </is>
      </c>
      <c r="C68" s="179" t="n">
        <v>20</v>
      </c>
      <c r="D68" s="172" t="n"/>
      <c r="E68" s="172" t="n"/>
      <c r="F68" s="172" t="n"/>
      <c r="G68" s="172" t="n"/>
      <c r="H68" s="172" t="n"/>
      <c r="I68" s="172" t="n"/>
      <c r="J68" s="173">
        <f>SUM(C68:I68)</f>
        <v>20</v>
      </c>
    </row>
    <row r="69" ht="16.5" customHeight="1" s="82">
      <c r="A69" s="170" t="n"/>
      <c r="B69" s="185" t="inlineStr">
        <is>
          <t>5대골절수술비</t>
        </is>
      </c>
      <c r="C69" s="172" t="n"/>
      <c r="D69" s="172" t="n"/>
      <c r="E69" s="172" t="n"/>
      <c r="F69" s="172" t="n"/>
      <c r="G69" s="172" t="n"/>
      <c r="H69" s="172" t="n"/>
      <c r="I69" s="172" t="n"/>
      <c r="J69" s="173">
        <f>SUM(C69:I69)</f>
        <v>0</v>
      </c>
    </row>
    <row r="70" ht="16.5" customHeight="1" s="82">
      <c r="A70" s="170" t="n"/>
      <c r="B70" s="174" t="inlineStr">
        <is>
          <t>화상수술비</t>
        </is>
      </c>
      <c r="C70" s="172" t="n"/>
      <c r="D70" s="172" t="n"/>
      <c r="E70" s="172" t="n"/>
      <c r="F70" s="172" t="n"/>
      <c r="G70" s="172" t="n"/>
      <c r="H70" s="172" t="n"/>
      <c r="I70" s="172" t="n"/>
      <c r="J70" s="173">
        <f>SUM(C70:I70)</f>
        <v>0</v>
      </c>
    </row>
    <row r="71" ht="16.5" customHeight="1" s="82">
      <c r="A71" s="189" t="n"/>
      <c r="B71" s="190" t="inlineStr">
        <is>
          <t>질병수술비</t>
        </is>
      </c>
      <c r="C71" s="191" t="n">
        <v>70</v>
      </c>
      <c r="D71" s="168" t="n"/>
      <c r="E71" s="192" t="n">
        <v>10</v>
      </c>
      <c r="F71" s="168" t="n"/>
      <c r="G71" s="168" t="n"/>
      <c r="H71" s="168" t="n"/>
      <c r="I71" s="191" t="n">
        <v>200</v>
      </c>
      <c r="J71" s="169">
        <f>SUM(C71:I71)</f>
        <v>280</v>
      </c>
    </row>
    <row r="72" ht="16.5" customHeight="1" s="82">
      <c r="A72" s="170" t="n"/>
      <c r="B72" s="174" t="inlineStr">
        <is>
          <t>질병 종수술비(1-5종)</t>
        </is>
      </c>
      <c r="C72" s="172" t="n"/>
      <c r="D72" s="172" t="n"/>
      <c r="E72" s="187" t="inlineStr">
        <is>
          <t>10/20/50/100/100</t>
        </is>
      </c>
      <c r="F72" s="181" t="n"/>
      <c r="G72" s="172" t="n"/>
      <c r="H72" s="172" t="n"/>
      <c r="I72" s="172" t="n"/>
      <c r="J72" s="188" t="inlineStr">
        <is>
          <t>10/20/50/100/100</t>
        </is>
      </c>
    </row>
    <row r="73" ht="16.5" customHeight="1" s="82">
      <c r="A73" s="170" t="n"/>
      <c r="B73" s="174" t="inlineStr">
        <is>
          <t>질병 종수술비(1-8종)</t>
        </is>
      </c>
      <c r="C73" s="172" t="n"/>
      <c r="D73" s="172" t="n"/>
      <c r="E73" s="172" t="n"/>
      <c r="F73" s="181" t="n"/>
      <c r="G73" s="172" t="n"/>
      <c r="H73" s="172" t="n"/>
      <c r="I73" s="172" t="n"/>
      <c r="J73" s="173">
        <f>SUM(C73:I73)</f>
        <v>0</v>
      </c>
    </row>
    <row r="74" ht="16.5" customHeight="1" s="82">
      <c r="A74" s="170" t="n"/>
      <c r="B74" s="174" t="inlineStr">
        <is>
          <t>뇌혈관수술비</t>
        </is>
      </c>
      <c r="C74" s="172" t="n"/>
      <c r="D74" s="172" t="n"/>
      <c r="E74" s="172" t="n"/>
      <c r="F74" s="172" t="n"/>
      <c r="G74" s="172" t="n"/>
      <c r="H74" s="172" t="n"/>
      <c r="I74" s="172" t="n"/>
      <c r="J74" s="173">
        <f>SUM(C74:I74)</f>
        <v>0</v>
      </c>
    </row>
    <row r="75" ht="16.5" customHeight="1" s="82">
      <c r="A75" s="170" t="n"/>
      <c r="B75" s="174" t="inlineStr">
        <is>
          <t>허혈성수술비</t>
        </is>
      </c>
      <c r="C75" s="172" t="n"/>
      <c r="D75" s="172" t="n"/>
      <c r="E75" s="172" t="n"/>
      <c r="F75" s="172" t="n"/>
      <c r="G75" s="172" t="n"/>
      <c r="H75" s="179" t="n">
        <v>1000</v>
      </c>
      <c r="I75" s="172" t="n"/>
      <c r="J75" s="173">
        <f>SUM(C75:I75)</f>
        <v>1000</v>
      </c>
    </row>
    <row r="76" ht="17.25" customHeight="1" s="82">
      <c r="A76" s="170" t="n"/>
      <c r="B76" s="174" t="inlineStr">
        <is>
          <t>심장수술비</t>
        </is>
      </c>
      <c r="C76" s="172" t="n"/>
      <c r="D76" s="172" t="n"/>
      <c r="E76" s="172" t="n"/>
      <c r="F76" s="172" t="n"/>
      <c r="G76" s="172" t="n"/>
      <c r="H76" s="172" t="n"/>
      <c r="I76" s="172" t="n"/>
      <c r="J76" s="173">
        <f>SUM(C76:I76)</f>
        <v>0</v>
      </c>
    </row>
    <row r="77" ht="16.5" customHeight="1" s="82">
      <c r="A77" s="170" t="n"/>
      <c r="B77" s="185" t="inlineStr">
        <is>
          <t>120대수술비</t>
        </is>
      </c>
      <c r="C77" s="172" t="n"/>
      <c r="D77" s="172" t="n"/>
      <c r="E77" s="180" t="n">
        <v>100</v>
      </c>
      <c r="F77" s="172" t="n"/>
      <c r="G77" s="172" t="n"/>
      <c r="H77" s="172" t="n"/>
      <c r="I77" s="179" t="n">
        <v>500</v>
      </c>
      <c r="J77" s="173">
        <f>IF(COUNT(C77:I77)=0,0,MAX(C77:I77))</f>
        <v>500</v>
      </c>
    </row>
    <row r="78" ht="16.5" customHeight="1" s="82">
      <c r="A78" s="170" t="n"/>
      <c r="B78" s="185" t="inlineStr">
        <is>
          <t>5대기관 수술비 관혈</t>
        </is>
      </c>
      <c r="C78" s="172" t="n"/>
      <c r="D78" s="172" t="n"/>
      <c r="E78" s="172" t="n"/>
      <c r="F78" s="172" t="n"/>
      <c r="G78" s="172" t="n"/>
      <c r="H78" s="172" t="n"/>
      <c r="I78" s="172" t="n"/>
      <c r="J78" s="173">
        <f>SUM(C78:I78)</f>
        <v>0</v>
      </c>
    </row>
    <row r="79" ht="17.25" customHeight="1" s="82">
      <c r="A79" s="175" t="n"/>
      <c r="B79" s="193" t="inlineStr">
        <is>
          <t>5대기관 수술비 비관혈</t>
        </is>
      </c>
      <c r="C79" s="177" t="n"/>
      <c r="D79" s="177" t="n"/>
      <c r="E79" s="177" t="n"/>
      <c r="F79" s="177" t="n"/>
      <c r="G79" s="177" t="n"/>
      <c r="H79" s="177" t="n"/>
      <c r="I79" s="177" t="n"/>
      <c r="J79" s="162">
        <f>SUM(C79:I79)</f>
        <v>0</v>
      </c>
    </row>
    <row r="80" ht="17.25" customHeight="1" s="82">
      <c r="A80" s="178" t="inlineStr">
        <is>
          <t>운전</t>
        </is>
      </c>
      <c r="B80" s="174" t="inlineStr">
        <is>
          <t>대인</t>
        </is>
      </c>
      <c r="C80" s="172" t="n"/>
      <c r="D80" s="172" t="n"/>
      <c r="E80" s="172" t="n"/>
      <c r="F80" s="172" t="n"/>
      <c r="G80" s="172" t="n"/>
      <c r="H80" s="172" t="n"/>
      <c r="I80" s="172" t="n"/>
      <c r="J80" s="173">
        <f>SUM(C80:I80)</f>
        <v>0</v>
      </c>
    </row>
    <row r="81" ht="17.25" customHeight="1" s="82">
      <c r="A81" s="170" t="n"/>
      <c r="B81" s="174" t="inlineStr">
        <is>
          <t>대물</t>
        </is>
      </c>
      <c r="C81" s="172" t="n"/>
      <c r="D81" s="172" t="n"/>
      <c r="E81" s="172" t="n"/>
      <c r="F81" s="172" t="n"/>
      <c r="G81" s="172" t="n"/>
      <c r="H81" s="172" t="n"/>
      <c r="I81" s="172" t="n"/>
      <c r="J81" s="173">
        <f>SUM(C81:I81)</f>
        <v>0</v>
      </c>
    </row>
    <row r="82" ht="16.5" customHeight="1" s="82">
      <c r="A82" s="170" t="n"/>
      <c r="B82" s="174" t="inlineStr">
        <is>
          <t>합의금</t>
        </is>
      </c>
      <c r="C82" s="172" t="n"/>
      <c r="D82" s="172" t="n"/>
      <c r="E82" s="172" t="n"/>
      <c r="F82" s="172" t="n"/>
      <c r="G82" s="172" t="n"/>
      <c r="H82" s="172" t="n"/>
      <c r="I82" s="172" t="n"/>
      <c r="J82" s="173">
        <f>SUM(C82:I82)</f>
        <v>0</v>
      </c>
    </row>
    <row r="83" ht="17.25" customHeight="1" s="82">
      <c r="A83" s="170" t="n"/>
      <c r="B83" s="185" t="inlineStr">
        <is>
          <t>6주미만</t>
        </is>
      </c>
      <c r="C83" s="172" t="n"/>
      <c r="D83" s="172" t="n"/>
      <c r="E83" s="172" t="n"/>
      <c r="F83" s="172" t="n"/>
      <c r="G83" s="172" t="n"/>
      <c r="H83" s="172" t="n"/>
      <c r="I83" s="172" t="n"/>
      <c r="J83" s="173">
        <f>SUM(C83:I83)</f>
        <v>0</v>
      </c>
    </row>
    <row r="84" ht="16.5" customHeight="1" s="82">
      <c r="A84" s="170" t="n"/>
      <c r="B84" s="174" t="inlineStr">
        <is>
          <t>변호사</t>
        </is>
      </c>
      <c r="C84" s="172" t="n"/>
      <c r="D84" s="172" t="n"/>
      <c r="E84" s="172" t="n"/>
      <c r="F84" s="172" t="n"/>
      <c r="G84" s="172" t="n"/>
      <c r="H84" s="172" t="n"/>
      <c r="I84" s="172" t="n"/>
      <c r="J84" s="173">
        <f>SUM(C84:I84)</f>
        <v>0</v>
      </c>
    </row>
    <row r="85" ht="17.25" customHeight="1" s="82">
      <c r="A85" s="175" t="n"/>
      <c r="B85" s="176" t="inlineStr">
        <is>
          <t>자부상</t>
        </is>
      </c>
      <c r="C85" s="177" t="n"/>
      <c r="D85" s="177" t="n"/>
      <c r="E85" s="177" t="n"/>
      <c r="F85" s="177" t="n"/>
      <c r="G85" s="177" t="n"/>
      <c r="H85" s="177" t="n"/>
      <c r="I85" s="177" t="n"/>
      <c r="J85" s="162">
        <f>MIN(SUM(C85:I85),80)</f>
        <v>0</v>
      </c>
    </row>
    <row r="86" ht="16.5" customHeight="1" s="82">
      <c r="A86" s="178" t="inlineStr">
        <is>
          <t>골절</t>
        </is>
      </c>
      <c r="B86" s="174" t="inlineStr">
        <is>
          <t>골절(치아파절포함)</t>
        </is>
      </c>
      <c r="C86" s="179" t="n">
        <v>20</v>
      </c>
      <c r="D86" s="172" t="n"/>
      <c r="E86" s="180" t="n">
        <v>30</v>
      </c>
      <c r="F86" s="172" t="n"/>
      <c r="G86" s="172" t="n"/>
      <c r="H86" s="172" t="n"/>
      <c r="I86" s="172" t="n"/>
      <c r="J86" s="173">
        <f>SUM(C86:I86)</f>
        <v>50</v>
      </c>
    </row>
    <row r="87" ht="16.5" customHeight="1" s="82">
      <c r="A87" s="170" t="n"/>
      <c r="B87" s="174" t="inlineStr">
        <is>
          <t>골절(치아파절제외)</t>
        </is>
      </c>
      <c r="C87" s="172" t="n"/>
      <c r="D87" s="172" t="n"/>
      <c r="E87" s="172" t="n"/>
      <c r="F87" s="172" t="n"/>
      <c r="G87" s="172" t="n"/>
      <c r="H87" s="172" t="n"/>
      <c r="I87" s="172" t="n"/>
      <c r="J87" s="173">
        <f>SUM(C87:I87)</f>
        <v>0</v>
      </c>
    </row>
    <row r="88" ht="17.25" customHeight="1" s="82">
      <c r="A88" s="175" t="n"/>
      <c r="B88" s="193" t="inlineStr">
        <is>
          <t>5대골절진단비</t>
        </is>
      </c>
      <c r="C88" s="159" t="n">
        <v>200</v>
      </c>
      <c r="D88" s="177" t="n"/>
      <c r="E88" s="161" t="n">
        <v>100</v>
      </c>
      <c r="F88" s="177" t="n"/>
      <c r="G88" s="177" t="n"/>
      <c r="H88" s="177" t="n"/>
      <c r="I88" s="177" t="n"/>
      <c r="J88" s="162">
        <f>SUM(C88:I88)</f>
        <v>300</v>
      </c>
    </row>
    <row r="89" ht="17.25" customHeight="1" s="82">
      <c r="A89" s="194" t="inlineStr">
        <is>
          <t>응급실</t>
        </is>
      </c>
      <c r="B89" s="176" t="inlineStr">
        <is>
          <t>응급실(응급)</t>
        </is>
      </c>
      <c r="C89" s="177" t="n"/>
      <c r="D89" s="177" t="n"/>
      <c r="E89" s="177" t="n"/>
      <c r="F89" s="177" t="n"/>
      <c r="G89" s="177" t="n"/>
      <c r="H89" s="177" t="n"/>
      <c r="I89" s="177" t="n"/>
      <c r="J89" s="162">
        <f>SUM(C89:I89)</f>
        <v>0</v>
      </c>
    </row>
    <row r="90">
      <c r="A90" s="194" t="inlineStr">
        <is>
          <t>독감</t>
        </is>
      </c>
      <c r="B90" s="176" t="inlineStr">
        <is>
          <t>독감</t>
        </is>
      </c>
      <c r="C90" s="177" t="n"/>
      <c r="D90" s="177" t="n"/>
      <c r="E90" s="177" t="n"/>
      <c r="F90" s="177" t="n"/>
      <c r="G90" s="177" t="n"/>
      <c r="H90" s="177" t="n"/>
      <c r="I90" s="177" t="n"/>
      <c r="J90" s="162">
        <f>SUM(C90:I90)</f>
        <v>0</v>
      </c>
    </row>
    <row r="91">
      <c r="A91" s="178" t="inlineStr">
        <is>
          <t>화상</t>
        </is>
      </c>
      <c r="B91" s="174" t="inlineStr">
        <is>
          <t>화상진단비</t>
        </is>
      </c>
      <c r="C91" s="179" t="n">
        <v>20</v>
      </c>
      <c r="D91" s="172" t="n"/>
      <c r="E91" s="180" t="n">
        <v>15</v>
      </c>
      <c r="F91" s="172" t="n"/>
      <c r="G91" s="172" t="n"/>
      <c r="H91" s="172" t="n"/>
      <c r="I91" s="172" t="n"/>
      <c r="J91" s="173">
        <f>SUM(C91:I91)</f>
        <v>35</v>
      </c>
    </row>
    <row r="92">
      <c r="A92" s="175" t="n"/>
      <c r="B92" s="176" t="inlineStr">
        <is>
          <t>중증화상진단비</t>
        </is>
      </c>
      <c r="C92" s="159" t="n">
        <v>3000</v>
      </c>
      <c r="D92" s="177" t="n"/>
      <c r="E92" s="177" t="n"/>
      <c r="F92" s="177" t="n"/>
      <c r="G92" s="177" t="n"/>
      <c r="H92" s="177" t="n"/>
      <c r="I92" s="177" t="n"/>
      <c r="J92" s="162">
        <f>SUM(C92:I92)</f>
        <v>3000</v>
      </c>
    </row>
    <row r="93">
      <c r="A93" s="178" t="inlineStr">
        <is>
          <t>깁스</t>
        </is>
      </c>
      <c r="B93" s="174" t="inlineStr">
        <is>
          <t>반깁스</t>
        </is>
      </c>
      <c r="C93" s="172" t="n"/>
      <c r="D93" s="172" t="n"/>
      <c r="E93" s="172" t="n"/>
      <c r="F93" s="172" t="n"/>
      <c r="G93" s="172" t="n"/>
      <c r="H93" s="172" t="n"/>
      <c r="I93" s="172" t="n"/>
      <c r="J93" s="173">
        <f>SUM(C93:I93)</f>
        <v>0</v>
      </c>
    </row>
    <row r="94">
      <c r="A94" s="175" t="n"/>
      <c r="B94" s="176" t="inlineStr">
        <is>
          <t>깁스진단비</t>
        </is>
      </c>
      <c r="C94" s="177" t="n"/>
      <c r="D94" s="177" t="n"/>
      <c r="E94" s="161" t="n">
        <v>30</v>
      </c>
      <c r="F94" s="177" t="n"/>
      <c r="G94" s="177" t="n"/>
      <c r="H94" s="177" t="n"/>
      <c r="I94" s="177" t="n"/>
      <c r="J94" s="162">
        <f>SUM(C94:I94)</f>
        <v>30</v>
      </c>
    </row>
    <row r="95" s="82">
      <c r="A95" s="178" t="inlineStr">
        <is>
          <t>실손</t>
        </is>
      </c>
      <c r="B95" s="174" t="inlineStr">
        <is>
          <t>입원</t>
        </is>
      </c>
      <c r="C95" s="181" t="n"/>
      <c r="D95" s="180" t="n">
        <v>5000</v>
      </c>
      <c r="E95" s="181" t="n"/>
      <c r="F95" s="181" t="n"/>
      <c r="G95" s="181" t="n"/>
      <c r="H95" s="181" t="n"/>
      <c r="I95" s="181" t="n"/>
      <c r="J95" s="173">
        <f>MIN(SUM(C95:I95),5000)</f>
        <v>5000</v>
      </c>
    </row>
    <row r="96" s="82">
      <c r="A96" s="170" t="n"/>
      <c r="B96" s="174" t="inlineStr">
        <is>
          <t>통원</t>
        </is>
      </c>
      <c r="C96" s="181" t="n"/>
      <c r="D96" s="180" t="n">
        <v>25</v>
      </c>
      <c r="E96" s="181" t="n"/>
      <c r="F96" s="181" t="n"/>
      <c r="G96" s="181" t="n"/>
      <c r="H96" s="181" t="n"/>
      <c r="I96" s="181" t="n"/>
      <c r="J96" s="173">
        <f>SUM(C96:I96)</f>
        <v>25</v>
      </c>
    </row>
    <row r="97">
      <c r="A97" s="170" t="n"/>
      <c r="B97" s="174" t="inlineStr">
        <is>
          <t>약값</t>
        </is>
      </c>
      <c r="C97" s="172" t="n"/>
      <c r="D97" s="180" t="n">
        <v>5</v>
      </c>
      <c r="E97" s="172" t="n"/>
      <c r="F97" s="172" t="n"/>
      <c r="G97" s="172" t="n"/>
      <c r="H97" s="172" t="n"/>
      <c r="I97" s="181" t="n"/>
      <c r="J97" s="173">
        <f>SUM(C97:I97)</f>
        <v>5</v>
      </c>
    </row>
    <row r="98">
      <c r="A98" s="175" t="n"/>
      <c r="B98" s="176" t="inlineStr">
        <is>
          <t>MRI/도수치료/비급여주사</t>
        </is>
      </c>
      <c r="C98" s="177" t="n"/>
      <c r="D98" s="160" t="inlineStr">
        <is>
          <t>300/350/250</t>
        </is>
      </c>
      <c r="E98" s="177" t="n"/>
      <c r="F98" s="177" t="n"/>
      <c r="G98" s="177" t="n"/>
      <c r="H98" s="177" t="n"/>
      <c r="I98" s="195" t="n"/>
      <c r="J98" s="196" t="inlineStr">
        <is>
          <t>300/350/250</t>
        </is>
      </c>
    </row>
    <row r="99">
      <c r="A99" s="194" t="inlineStr">
        <is>
          <t>일배책</t>
        </is>
      </c>
      <c r="B99" s="176" t="inlineStr">
        <is>
          <t>일상배상책임</t>
        </is>
      </c>
      <c r="C99" s="195" t="n"/>
      <c r="D99" s="195" t="n"/>
      <c r="E99" s="195" t="n"/>
      <c r="F99" s="195" t="n"/>
      <c r="G99" s="195" t="n"/>
      <c r="H99" s="195" t="n"/>
      <c r="I99" s="161" t="n">
        <v>10000</v>
      </c>
      <c r="J99" s="162">
        <f>SUM(C99:I99)</f>
        <v>10000</v>
      </c>
    </row>
  </sheetData>
  <mergeCells count="17">
    <mergeCell ref="A30:A37"/>
    <mergeCell ref="A63:A79"/>
    <mergeCell ref="A93:A94"/>
    <mergeCell ref="A4:B4"/>
    <mergeCell ref="A2:B2"/>
    <mergeCell ref="A15:A29"/>
    <mergeCell ref="A50:A62"/>
    <mergeCell ref="A5:B5"/>
    <mergeCell ref="A38:A49"/>
    <mergeCell ref="A86:A88"/>
    <mergeCell ref="A11:A14"/>
    <mergeCell ref="A91:A92"/>
    <mergeCell ref="A1:B1"/>
    <mergeCell ref="A95:A98"/>
    <mergeCell ref="A3:B3"/>
    <mergeCell ref="A80:A85"/>
    <mergeCell ref="A6:A1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4" customWidth="1" style="82" min="2" max="2"/>
    <col width="40" customWidth="1" style="82" min="4" max="4"/>
    <col width="12" customWidth="1" style="82" min="5" max="5"/>
  </cols>
  <sheetData>
    <row r="1">
      <c r="A1" t="inlineStr">
        <is>
          <t>송슬기 · 자동분석 2026.07.02</t>
        </is>
      </c>
    </row>
    <row r="3">
      <c r="A3" t="inlineStr">
        <is>
          <t>계약수</t>
        </is>
      </c>
      <c r="B3" t="n">
        <v>7</v>
      </c>
    </row>
    <row r="4">
      <c r="A4" t="inlineStr">
        <is>
          <t>월보험료합계</t>
        </is>
      </c>
      <c r="B4" t="inlineStr">
        <is>
          <t>370,249원</t>
        </is>
      </c>
    </row>
    <row r="6">
      <c r="A6" t="inlineStr">
        <is>
          <t>[확인] 자동매핑 실패 담보 (마스터 미수록 또는 약관 확인 후 수기 기재)</t>
        </is>
      </c>
    </row>
    <row r="7">
      <c r="A7" t="inlineStr">
        <is>
          <t>회사</t>
        </is>
      </c>
      <c r="B7" t="inlineStr">
        <is>
          <t>담보명</t>
        </is>
      </c>
      <c r="C7" t="inlineStr">
        <is>
          <t>금액(만원)</t>
        </is>
      </c>
      <c r="D7" t="inlineStr">
        <is>
          <t>보장범위(참고)</t>
        </is>
      </c>
      <c r="E7" t="inlineStr">
        <is>
          <t>약관검색</t>
        </is>
      </c>
    </row>
    <row r="8">
      <c r="A8" t="inlineStr">
        <is>
          <t>메리츠화재</t>
        </is>
      </c>
      <c r="B8" t="inlineStr">
        <is>
          <t>상해흉터복원수술비</t>
        </is>
      </c>
      <c r="C8" t="n">
        <v>500</v>
      </c>
      <c r="D8" t="inlineStr"/>
      <c r="E8" s="197" t="inlineStr">
        <is>
          <t>🔗약관검색</t>
        </is>
      </c>
    </row>
    <row r="9">
      <c r="A9" t="inlineStr">
        <is>
          <t>메리츠화재</t>
        </is>
      </c>
      <c r="B9" t="inlineStr">
        <is>
          <t>인공관절수술비</t>
        </is>
      </c>
      <c r="C9" t="n">
        <v>100</v>
      </c>
      <c r="D9" t="inlineStr"/>
      <c r="E9" s="197" t="inlineStr">
        <is>
          <t>🔗약관검색</t>
        </is>
      </c>
    </row>
    <row r="10">
      <c r="A10" t="inlineStr">
        <is>
          <t>메리츠화재</t>
        </is>
      </c>
      <c r="B10" t="inlineStr">
        <is>
          <t>5대장기이식수술비</t>
        </is>
      </c>
      <c r="C10" t="n">
        <v>2000</v>
      </c>
      <c r="D10" t="inlineStr"/>
      <c r="E10" s="197" t="inlineStr">
        <is>
          <t>🔗약관검색</t>
        </is>
      </c>
    </row>
    <row r="11">
      <c r="A11" t="inlineStr">
        <is>
          <t>메리츠화재</t>
        </is>
      </c>
      <c r="B11" t="inlineStr">
        <is>
          <t>각막이식수술비</t>
        </is>
      </c>
      <c r="C11" t="n">
        <v>1000</v>
      </c>
      <c r="D11" t="inlineStr"/>
      <c r="E11" s="197" t="inlineStr">
        <is>
          <t>🔗약관검색</t>
        </is>
      </c>
    </row>
    <row r="12">
      <c r="A12" t="inlineStr">
        <is>
          <t>메리츠화재</t>
        </is>
      </c>
      <c r="B12" t="inlineStr">
        <is>
          <t>간질환수술비</t>
        </is>
      </c>
      <c r="C12" t="n">
        <v>200</v>
      </c>
      <c r="D12" t="inlineStr"/>
      <c r="E12" s="197" t="inlineStr">
        <is>
          <t>🔗약관검색</t>
        </is>
      </c>
    </row>
    <row r="13">
      <c r="A13" t="inlineStr">
        <is>
          <t>메리츠화재</t>
        </is>
      </c>
      <c r="B13" t="inlineStr">
        <is>
          <t>여성골다공증수술비</t>
        </is>
      </c>
      <c r="C13" t="n">
        <v>50</v>
      </c>
      <c r="D13" t="inlineStr"/>
      <c r="E13" s="197" t="inlineStr">
        <is>
          <t>🔗약관검색</t>
        </is>
      </c>
    </row>
    <row r="14">
      <c r="A14" t="inlineStr">
        <is>
          <t>메리츠화재</t>
        </is>
      </c>
      <c r="B14" t="inlineStr">
        <is>
          <t>유방절제수술복원치료비</t>
        </is>
      </c>
      <c r="C14" t="n">
        <v>100</v>
      </c>
      <c r="D14" t="inlineStr"/>
      <c r="E14" s="197" t="inlineStr">
        <is>
          <t>🔗약관검색</t>
        </is>
      </c>
    </row>
    <row r="15">
      <c r="A15" t="inlineStr">
        <is>
          <t>메리츠화재</t>
        </is>
      </c>
      <c r="B15" t="inlineStr">
        <is>
          <t>조혈모세포이식수술비</t>
        </is>
      </c>
      <c r="C15" t="n">
        <v>2000</v>
      </c>
      <c r="D15" t="inlineStr"/>
      <c r="E15" s="197" t="inlineStr">
        <is>
          <t>🔗약관검색</t>
        </is>
      </c>
    </row>
    <row r="16">
      <c r="A16" t="inlineStr">
        <is>
          <t>메리츠화재</t>
        </is>
      </c>
      <c r="B16" t="inlineStr">
        <is>
          <t>민사소송 법률비용</t>
        </is>
      </c>
      <c r="C16" t="n">
        <v>2000</v>
      </c>
      <c r="D16" t="inlineStr"/>
      <c r="E16" s="197" t="inlineStr">
        <is>
          <t>🔗약관검색</t>
        </is>
      </c>
    </row>
    <row r="17">
      <c r="A17" t="inlineStr">
        <is>
          <t>한화손보</t>
        </is>
      </c>
      <c r="B17" t="inlineStr">
        <is>
          <t>관절증(엉덩,무릎)수술비(수술1회당)(3N5간편,갱신형)</t>
        </is>
      </c>
      <c r="C17" t="n">
        <v>20</v>
      </c>
      <c r="D17" t="inlineStr"/>
      <c r="E17" s="197" t="inlineStr">
        <is>
          <t>🔗약관검색</t>
        </is>
      </c>
    </row>
    <row r="18">
      <c r="A18" t="inlineStr">
        <is>
          <t>한화손보</t>
        </is>
      </c>
      <c r="B18" t="inlineStr">
        <is>
          <t>조혈모세포이식수술비(1회한)(3N5간편,갱신형)</t>
        </is>
      </c>
      <c r="C18" t="n">
        <v>2000</v>
      </c>
      <c r="D18" t="inlineStr"/>
      <c r="E18" s="197" t="inlineStr">
        <is>
          <t>🔗약관검색</t>
        </is>
      </c>
    </row>
    <row r="19">
      <c r="A19" t="inlineStr">
        <is>
          <t>한화손보</t>
        </is>
      </c>
      <c r="B19" t="inlineStr">
        <is>
          <t>5대장기이식수술비(1회한)(3N5간편,갱신형)</t>
        </is>
      </c>
      <c r="C19" t="n">
        <v>2000</v>
      </c>
      <c r="D19" t="inlineStr"/>
      <c r="E19" s="197" t="inlineStr">
        <is>
          <t>🔗약관검색</t>
        </is>
      </c>
    </row>
    <row r="20">
      <c r="A20" t="inlineStr">
        <is>
          <t>한화손보</t>
        </is>
      </c>
      <c r="B20" t="inlineStr">
        <is>
          <t>각막이식수술비(1회한)(3N5간편,갱신형)</t>
        </is>
      </c>
      <c r="C20" t="n">
        <v>2000</v>
      </c>
      <c r="D20" t="inlineStr"/>
      <c r="E20" s="197" t="inlineStr">
        <is>
          <t>🔗약관검색</t>
        </is>
      </c>
    </row>
    <row r="21">
      <c r="A21" t="inlineStr">
        <is>
          <t>한화손보</t>
        </is>
      </c>
      <c r="B21" t="inlineStr">
        <is>
          <t>보험료납입면제대상보장(4대사유)(3N5간편,갱신형)</t>
        </is>
      </c>
      <c r="C21" t="n">
        <v>10</v>
      </c>
      <c r="D21" t="inlineStr"/>
      <c r="E21" s="197" t="inlineStr">
        <is>
          <t>🔗약관검색</t>
        </is>
      </c>
    </row>
    <row r="22">
      <c r="A22" t="inlineStr">
        <is>
          <t>한화손보</t>
        </is>
      </c>
      <c r="B22" t="inlineStr">
        <is>
          <t>(감액및면책없음)암(특정유사암포함)진단후종합병원특정치료지원금(연간8천만원이상,진단후5년,연간1회한)((감액및면책없음)암(특정유사암포함)진단후종합병원특정치료지원금(연간9천만원이상,진단후5년,연간1회한)(</t>
        </is>
      </c>
      <c r="C22" t="n">
        <v>1000</v>
      </c>
      <c r="D22" t="inlineStr"/>
      <c r="E22" s="197" t="inlineStr">
        <is>
          <t>🔗약관검색</t>
        </is>
      </c>
    </row>
    <row r="23">
      <c r="A23" t="inlineStr">
        <is>
          <t>한화손보</t>
        </is>
      </c>
      <c r="B23" t="inlineStr">
        <is>
          <t>(감액및면책없음)암(특정유사암포함)진단후종합병원특정치료지원금(연간1억원이상,진단후5년,연간1회한)(3N(감액및면책없음)암(특정유사암포함)진단후종합병원특정치료지원금(연간1천만원이상,진단후5년,연간1회한)(</t>
        </is>
      </c>
      <c r="C23" t="n">
        <v>1000</v>
      </c>
      <c r="D23" t="inlineStr"/>
      <c r="E23" s="197" t="inlineStr">
        <is>
          <t>🔗약관검색</t>
        </is>
      </c>
    </row>
    <row r="24">
      <c r="A24" t="inlineStr">
        <is>
          <t>한화손보</t>
        </is>
      </c>
      <c r="B24" t="inlineStr">
        <is>
          <t>(감액및면책없음)암(4대유사암제외)진단후특정치료비(진단후5년,연간1회한)(3N5간편)특정유사암진단후특정치료비(진단후5년,연간1회한)(3N5간편)</t>
        </is>
      </c>
      <c r="C24" t="n">
        <v>1000</v>
      </c>
      <c r="D24" t="inlineStr"/>
      <c r="E24" s="197" t="inlineStr">
        <is>
          <t>🔗약관검색</t>
        </is>
      </c>
    </row>
    <row r="25">
      <c r="A25" t="inlineStr">
        <is>
          <t>한화손보</t>
        </is>
      </c>
      <c r="B25" t="inlineStr">
        <is>
          <t>(감액및면책없음)암(특정유사암포함)진단후종합병원특정치료지원금(연간2천만원이상,진단후5년,연간1회한)(</t>
        </is>
      </c>
      <c r="C25" t="n">
        <v>1000</v>
      </c>
      <c r="D25" t="inlineStr"/>
      <c r="E25" s="197" t="inlineStr">
        <is>
          <t>🔗약관검색</t>
        </is>
      </c>
    </row>
    <row r="26">
      <c r="A26" t="inlineStr">
        <is>
          <t>한화손보</t>
        </is>
      </c>
      <c r="B26" t="inlineStr">
        <is>
          <t>(감액및면책없음)암(특정유사암포함)진단후종합병원특정치료지원금(연간3천만원이상,진단후5년,연간1회한)(</t>
        </is>
      </c>
      <c r="C26" t="n">
        <v>1000</v>
      </c>
      <c r="D26" t="inlineStr"/>
      <c r="E26" s="197" t="inlineStr">
        <is>
          <t>🔗약관검색</t>
        </is>
      </c>
    </row>
    <row r="27">
      <c r="A27" t="inlineStr">
        <is>
          <t>한화손보</t>
        </is>
      </c>
      <c r="B27" t="inlineStr">
        <is>
          <t>(감액및면책없음)암(특정유사암포함)진단후종합병원특정치료지원금(연간4천만원이상,진단후5년,연간1회한)(</t>
        </is>
      </c>
      <c r="C27" t="n">
        <v>400</v>
      </c>
      <c r="D27" t="inlineStr"/>
      <c r="E27" s="197" t="inlineStr">
        <is>
          <t>🔗약관검색</t>
        </is>
      </c>
    </row>
    <row r="28">
      <c r="A28" t="inlineStr">
        <is>
          <t>한화손보</t>
        </is>
      </c>
      <c r="B28" t="inlineStr">
        <is>
          <t>(감액및면책없음)암(특정유사암포함)진단후종합병원특정치료지원금(연간5천만원이상,진단후5년,연간1회한)(</t>
        </is>
      </c>
      <c r="C28" t="n">
        <v>1000</v>
      </c>
      <c r="D28" t="inlineStr"/>
      <c r="E28" s="197" t="inlineStr">
        <is>
          <t>🔗약관검색</t>
        </is>
      </c>
    </row>
    <row r="29">
      <c r="A29" t="inlineStr">
        <is>
          <t>한화손보</t>
        </is>
      </c>
      <c r="B29" t="inlineStr">
        <is>
          <t>(감액및면책없음)암(특정유사암포함)진단후종합병원특정치료지원금(연간6천만원이상,진단후5년,연간1회한)(</t>
        </is>
      </c>
      <c r="C29" t="n">
        <v>1000</v>
      </c>
      <c r="D29" t="inlineStr"/>
      <c r="E29" s="197" t="inlineStr">
        <is>
          <t>🔗약관검색</t>
        </is>
      </c>
    </row>
    <row r="30">
      <c r="A30" t="inlineStr">
        <is>
          <t>한화손보</t>
        </is>
      </c>
      <c r="B30" t="inlineStr">
        <is>
          <t>(감액및면책없음)암(특정유사암포함)진단후종합병원특정치료지원금(연간7천만원이상,진단후5년,연간1회한)(</t>
        </is>
      </c>
      <c r="C30" t="n">
        <v>1000</v>
      </c>
      <c r="D30" t="inlineStr"/>
      <c r="E30" s="197" t="inlineStr">
        <is>
          <t>🔗약관검색</t>
        </is>
      </c>
    </row>
    <row r="31">
      <c r="A31" t="inlineStr">
        <is>
          <t>한화손보</t>
        </is>
      </c>
      <c r="B31" t="inlineStr">
        <is>
          <t>보험료납입면제대상보장(5대사유)(3N5간편)</t>
        </is>
      </c>
      <c r="C31" t="n">
        <v>10</v>
      </c>
      <c r="D31" t="inlineStr"/>
      <c r="E31" s="197" t="inlineStr">
        <is>
          <t>🔗약관검색</t>
        </is>
      </c>
    </row>
    <row r="32">
      <c r="A32" t="inlineStr">
        <is>
          <t>삼성화재</t>
        </is>
      </c>
      <c r="B32" t="inlineStr">
        <is>
          <t>[간편]질병 입원 수술비Ⅱ(당일입원 제외)(1년50%)</t>
        </is>
      </c>
      <c r="C32" t="n">
        <v>20</v>
      </c>
      <c r="D32" t="inlineStr"/>
      <c r="E32" s="197" t="inlineStr">
        <is>
          <t>🔗약관검색</t>
        </is>
      </c>
    </row>
    <row r="33">
      <c r="A33" t="inlineStr">
        <is>
          <t>삼성화재</t>
        </is>
      </c>
      <c r="B33" t="inlineStr">
        <is>
          <t>[간편]4대특정질병 치료∬수술비(1년50%)</t>
        </is>
      </c>
      <c r="C33" t="n">
        <v>20</v>
      </c>
      <c r="D33" t="inlineStr"/>
      <c r="E33" s="197" t="inlineStr">
        <is>
          <t>🔗약관검색</t>
        </is>
      </c>
    </row>
    <row r="34">
      <c r="A34" t="inlineStr">
        <is>
          <t>삼성화재</t>
        </is>
      </c>
      <c r="B34" t="inlineStr">
        <is>
          <t>[간편]충수염 수술비(1년50%)</t>
        </is>
      </c>
      <c r="C34" t="n">
        <v>10</v>
      </c>
      <c r="D34" t="inlineStr"/>
      <c r="E34" s="197" t="inlineStr">
        <is>
          <t>🔗약관검색</t>
        </is>
      </c>
    </row>
    <row r="35">
      <c r="A35" t="inlineStr">
        <is>
          <t>삼성화재</t>
        </is>
      </c>
      <c r="B35" t="inlineStr">
        <is>
          <t>[간편]인공관절치환 수술비(1년50%)</t>
        </is>
      </c>
      <c r="C35" t="n">
        <v>50</v>
      </c>
      <c r="D35" t="inlineStr"/>
      <c r="E35" s="197" t="inlineStr">
        <is>
          <t>🔗약관검색</t>
        </is>
      </c>
    </row>
    <row r="36">
      <c r="A36" t="inlineStr">
        <is>
          <t>삼성화재</t>
        </is>
      </c>
      <c r="B36" t="inlineStr">
        <is>
          <t>[간편]2대주요기관질병 스텐트삽입술 및풍선혈관성형수술비(급여)(연간1회한)(1년50%)</t>
        </is>
      </c>
      <c r="C36" t="n">
        <v>0</v>
      </c>
      <c r="D36" t="inlineStr"/>
      <c r="E36" s="197" t="inlineStr">
        <is>
          <t>🔗약관검색</t>
        </is>
      </c>
    </row>
    <row r="40">
      <c r="A40" t="inlineStr">
        <is>
          <t>[근거] 실손 세대 판정 (가입일 vs 상품코드 — 상품코드 우선)</t>
        </is>
      </c>
    </row>
    <row r="41">
      <c r="A41" t="inlineStr">
        <is>
          <t>회사</t>
        </is>
      </c>
      <c r="B41" t="inlineStr">
        <is>
          <t>가입일</t>
        </is>
      </c>
      <c r="C41" t="inlineStr">
        <is>
          <t>상품코드(YYMM)</t>
        </is>
      </c>
      <c r="D41" t="inlineStr">
        <is>
          <t>판정</t>
        </is>
      </c>
    </row>
    <row r="42">
      <c r="A42" t="inlineStr">
        <is>
          <t>한화손보</t>
        </is>
      </c>
      <c r="B42" t="inlineStr">
        <is>
          <t>2022.09.17</t>
        </is>
      </c>
      <c r="C42" t="inlineStr">
        <is>
          <t>1804</t>
        </is>
      </c>
      <c r="D42" t="inlineStr">
        <is>
          <t>3세대</t>
        </is>
      </c>
    </row>
    <row r="44">
      <c r="A44" t="inlineStr">
        <is>
          <t>[근거] 심장 블록 기재 내역 (원 담보명 → 기재 행) — 별첨 원문 그대로</t>
        </is>
      </c>
    </row>
    <row r="45">
      <c r="A45" t="inlineStr">
        <is>
          <t>회사</t>
        </is>
      </c>
      <c r="B45" t="inlineStr">
        <is>
          <t>별첨 원 담보명</t>
        </is>
      </c>
      <c r="C45" t="inlineStr">
        <is>
          <t>기재 행</t>
        </is>
      </c>
      <c r="D45" t="inlineStr">
        <is>
          <t>금액(만원)</t>
        </is>
      </c>
    </row>
    <row r="46">
      <c r="A46" t="inlineStr">
        <is>
          <t>한화손보</t>
        </is>
      </c>
      <c r="B46" t="inlineStr">
        <is>
          <t>심혈관특정질환Ⅱ진단비(3N5간편,갱신형)</t>
        </is>
      </c>
      <c r="C46" t="inlineStr">
        <is>
          <t>협심증 · 부정맥 · 심부전 · 빈맥</t>
        </is>
      </c>
      <c r="D46" t="n">
        <v>1000</v>
      </c>
    </row>
    <row r="47">
      <c r="A47" t="inlineStr">
        <is>
          <t>한화손보</t>
        </is>
      </c>
      <c r="B47" t="inlineStr">
        <is>
          <t>심근병증진단비(3N5간편,갱신형)</t>
        </is>
      </c>
      <c r="C47" t="inlineStr">
        <is>
          <t>심근병증</t>
        </is>
      </c>
      <c r="D47" t="n">
        <v>1000</v>
      </c>
    </row>
    <row r="48">
      <c r="A48" t="inlineStr">
        <is>
          <t>한화손보</t>
        </is>
      </c>
      <c r="B48" t="inlineStr">
        <is>
          <t>심장판막협착증(대동맥판막)진단비(3N5간편,갱신형)</t>
        </is>
      </c>
      <c r="C48" t="inlineStr">
        <is>
          <t>심장판막</t>
        </is>
      </c>
      <c r="D48" t="n">
        <v>100</v>
      </c>
    </row>
    <row r="49">
      <c r="A49" t="inlineStr">
        <is>
          <t>한화손보</t>
        </is>
      </c>
      <c r="B49" t="inlineStr">
        <is>
          <t>허혈성심장질환수술비(1회한)(3N5간편)</t>
        </is>
      </c>
      <c r="C49" t="inlineStr">
        <is>
          <t>허혈성수술비</t>
        </is>
      </c>
      <c r="D49" t="n">
        <v>500</v>
      </c>
    </row>
    <row r="50">
      <c r="A50" t="inlineStr">
        <is>
          <t>한화손보</t>
        </is>
      </c>
      <c r="B50" t="inlineStr">
        <is>
          <t>허혈성심장질환수술비(수술1회당)(3N5간편)</t>
        </is>
      </c>
      <c r="C50" t="inlineStr">
        <is>
          <t>허혈성수술비</t>
        </is>
      </c>
      <c r="D50" t="n">
        <v>500</v>
      </c>
    </row>
  </sheetData>
  <hyperlinks>
    <hyperlink xmlns:r="http://schemas.openxmlformats.org/officeDocument/2006/relationships" ref="E8" r:id="rId1"/>
    <hyperlink xmlns:r="http://schemas.openxmlformats.org/officeDocument/2006/relationships" ref="E9" r:id="rId2"/>
    <hyperlink xmlns:r="http://schemas.openxmlformats.org/officeDocument/2006/relationships" ref="E10" r:id="rId3"/>
    <hyperlink xmlns:r="http://schemas.openxmlformats.org/officeDocument/2006/relationships" ref="E11" r:id="rId4"/>
    <hyperlink xmlns:r="http://schemas.openxmlformats.org/officeDocument/2006/relationships" ref="E12" r:id="rId5"/>
    <hyperlink xmlns:r="http://schemas.openxmlformats.org/officeDocument/2006/relationships" ref="E13" r:id="rId6"/>
    <hyperlink xmlns:r="http://schemas.openxmlformats.org/officeDocument/2006/relationships" ref="E14" r:id="rId7"/>
    <hyperlink xmlns:r="http://schemas.openxmlformats.org/officeDocument/2006/relationships" ref="E15" r:id="rId8"/>
    <hyperlink xmlns:r="http://schemas.openxmlformats.org/officeDocument/2006/relationships" ref="E16" r:id="rId9"/>
    <hyperlink xmlns:r="http://schemas.openxmlformats.org/officeDocument/2006/relationships" ref="E17" r:id="rId10"/>
    <hyperlink xmlns:r="http://schemas.openxmlformats.org/officeDocument/2006/relationships" ref="E18" r:id="rId11"/>
    <hyperlink xmlns:r="http://schemas.openxmlformats.org/officeDocument/2006/relationships" ref="E19" r:id="rId12"/>
    <hyperlink xmlns:r="http://schemas.openxmlformats.org/officeDocument/2006/relationships" ref="E20" r:id="rId13"/>
    <hyperlink xmlns:r="http://schemas.openxmlformats.org/officeDocument/2006/relationships" ref="E21" r:id="rId14"/>
    <hyperlink xmlns:r="http://schemas.openxmlformats.org/officeDocument/2006/relationships" ref="E22" r:id="rId15"/>
    <hyperlink xmlns:r="http://schemas.openxmlformats.org/officeDocument/2006/relationships" ref="E23" r:id="rId16"/>
    <hyperlink xmlns:r="http://schemas.openxmlformats.org/officeDocument/2006/relationships" ref="E24" r:id="rId17"/>
    <hyperlink xmlns:r="http://schemas.openxmlformats.org/officeDocument/2006/relationships" ref="E25" r:id="rId18"/>
    <hyperlink xmlns:r="http://schemas.openxmlformats.org/officeDocument/2006/relationships" ref="E26" r:id="rId19"/>
    <hyperlink xmlns:r="http://schemas.openxmlformats.org/officeDocument/2006/relationships" ref="E27" r:id="rId20"/>
    <hyperlink xmlns:r="http://schemas.openxmlformats.org/officeDocument/2006/relationships" ref="E28" r:id="rId21"/>
    <hyperlink xmlns:r="http://schemas.openxmlformats.org/officeDocument/2006/relationships" ref="E29" r:id="rId22"/>
    <hyperlink xmlns:r="http://schemas.openxmlformats.org/officeDocument/2006/relationships" ref="E30" r:id="rId23"/>
    <hyperlink xmlns:r="http://schemas.openxmlformats.org/officeDocument/2006/relationships" ref="E31" r:id="rId24"/>
    <hyperlink xmlns:r="http://schemas.openxmlformats.org/officeDocument/2006/relationships" ref="E32" r:id="rId25"/>
    <hyperlink xmlns:r="http://schemas.openxmlformats.org/officeDocument/2006/relationships" ref="E33" r:id="rId26"/>
    <hyperlink xmlns:r="http://schemas.openxmlformats.org/officeDocument/2006/relationships" ref="E34" r:id="rId27"/>
    <hyperlink xmlns:r="http://schemas.openxmlformats.org/officeDocument/2006/relationships" ref="E35" r:id="rId28"/>
    <hyperlink xmlns:r="http://schemas.openxmlformats.org/officeDocument/2006/relationships" ref="E36" r:id="rId2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2026-07-02T23:49:27Z</dcterms:modified>
  <cp:lastModifiedBy>Windows</cp:lastModifiedBy>
  <cp:revision>0</cp:revision>
  <cp:lastPrinted>2026-05-12T16:05:05Z</cp:lastPrinted>
</cp:coreProperties>
</file>