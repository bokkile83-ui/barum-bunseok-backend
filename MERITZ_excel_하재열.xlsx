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<sst xmlns="http://schemas.openxmlformats.org/spreadsheetml/2006/main" count="310" uniqueCount="232">
  <si>
    <t xml:space="preserve">하재열 보장진단</t>
  </si>
  <si>
    <r>
      <rPr>
        <b val="true"/>
        <sz val="9"/>
        <color rgb="FFFFFFFF"/>
        <rFont val="Noto Sans CJK SC"/>
        <family val="2"/>
      </rPr>
      <t xml:space="preserve">신한생명
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종신보험 표준형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</si>
  <si>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신한생명
용감한 오렌지종신보험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저해지환급형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</si>
  <si>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신한생명
오렌지 멀티라이프 변액유니버셜종신보험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</si>
  <si>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신한생명
오렌지 큐브 종합건강상해보험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해지환급금 미지급형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</si>
  <si>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신한생명
간편가입 오렌지 치매간병보험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 </t>
    </r>
    <r>
      <rPr>
        <b val="true"/>
        <sz val="9"/>
        <color rgb="FFFFFFFF"/>
        <rFont val="Noto Sans CJK SC"/>
        <family val="2"/>
      </rPr>
      <t xml:space="preserve">저해지환급금 지급형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</si>
  <si>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신한생명
오렌지 넥스트 암보험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 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</si>
  <si>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KB </t>
    </r>
    <r>
      <rPr>
        <b val="true"/>
        <sz val="9"/>
        <color rgb="FFFFFFFF"/>
        <rFont val="Noto Sans CJK SC"/>
        <family val="2"/>
      </rPr>
      <t xml:space="preserve">플러스 운전자상해보험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)(24.08)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</si>
  <si>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AXA</t>
    </r>
    <r>
      <rPr>
        <b val="true"/>
        <sz val="9"/>
        <color rgb="FFFFFFFF"/>
        <rFont val="Noto Sans CJK SC"/>
        <family val="2"/>
      </rPr>
      <t xml:space="preserve">손보
간편심사건강보험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</si>
  <si>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삼성생명
간편가입종합간병보험</t>
    </r>
    <r>
      <rPr>
        <b val="true"/>
        <sz val="9"/>
        <color rgb="FFFFFFFF"/>
        <rFont val="맑은 고딕"/>
        <family val="0"/>
        <charset val="1"/>
      </rPr>
      <t xml:space="preserve">2.0</t>
    </r>
    <r>
      <rPr>
        <b val="true"/>
        <sz val="9"/>
        <color rgb="FFFFFFFF"/>
        <rFont val="Noto Sans CJK SC"/>
        <family val="2"/>
      </rPr>
      <t xml:space="preserve">無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</si>
  <si>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새마을금고중앙회
無</t>
    </r>
    <r>
      <rPr>
        <b val="true"/>
        <sz val="9"/>
        <color rgb="FFFFFFFF"/>
        <rFont val="맑은 고딕"/>
        <family val="0"/>
        <charset val="1"/>
      </rPr>
      <t xml:space="preserve">MG</t>
    </r>
    <r>
      <rPr>
        <b val="true"/>
        <sz val="9"/>
        <color rgb="FFFFFFFF"/>
        <rFont val="Noto Sans CJK SC"/>
        <family val="2"/>
      </rPr>
      <t xml:space="preserve">마음든든한화재종합공제</t>
    </r>
    <r>
      <rPr>
        <b val="true"/>
        <sz val="9"/>
        <color rgb="FFFFFFFF"/>
        <rFont val="맑은 고딕"/>
        <family val="0"/>
        <charset val="1"/>
      </rPr>
      <t xml:space="preserve">_24A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</si>
  <si>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</si>
  <si>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</si>
  <si>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</si>
  <si>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2005.03.05</t>
  </si>
  <si>
    <t xml:space="preserve">2017.09.26</t>
  </si>
  <si>
    <t xml:space="preserve">2021.01.25</t>
  </si>
  <si>
    <t xml:space="preserve">2021.03.04</t>
  </si>
  <si>
    <t xml:space="preserve">2024.08.20</t>
  </si>
  <si>
    <t xml:space="preserve">2020.03.09</t>
  </si>
  <si>
    <t xml:space="preserve">2020.05.27</t>
  </si>
  <si>
    <t xml:space="preserve">2025.06.12</t>
  </si>
  <si>
    <t xml:space="preserve">만기일자</t>
  </si>
  <si>
    <t xml:space="preserve">9999.12.31</t>
  </si>
  <si>
    <t xml:space="preserve">2065.03.04</t>
  </si>
  <si>
    <t xml:space="preserve">2041.03.04</t>
  </si>
  <si>
    <t xml:space="preserve">2044.08.20</t>
  </si>
  <si>
    <t xml:space="preserve">2075.03.09</t>
  </si>
  <si>
    <t xml:space="preserve">2075.05.27</t>
  </si>
  <si>
    <t xml:space="preserve">2028.06.12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</si>
  <si>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</si>
  <si>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</si>
  <si>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</si>
  <si>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</si>
  <si>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</si>
  <si>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55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</si>
  <si>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</si>
  <si>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</si>
  <si>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</si>
  <si>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</si>
  <si>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</si>
  <si>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</si>
  <si>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</si>
  <si>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</si>
  <si>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</si>
  <si>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</si>
  <si>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</si>
  <si>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</si>
  <si>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</si>
  <si>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</si>
  <si>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</si>
  <si>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</si>
  <si>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</si>
  <si>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</si>
  <si>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</si>
  <si>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</si>
  <si>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</si>
  <si>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</si>
  <si>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</si>
  <si>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</si>
  <si>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</si>
  <si>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</si>
  <si>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</si>
  <si>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</si>
  <si>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</si>
  <si>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</si>
  <si>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</si>
  <si>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</si>
  <si>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</si>
  <si>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</si>
  <si>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</si>
  <si>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</si>
  <si>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</si>
  <si>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</si>
  <si>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</si>
  <si>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</si>
  <si>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</si>
  <si>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</si>
  <si>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</si>
  <si>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</si>
  <si>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</si>
  <si>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</si>
  <si>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</si>
  <si>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</si>
  <si>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</si>
  <si>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</si>
  <si>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</si>
  <si>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</si>
  <si>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</si>
  <si>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</si>
  <si>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</si>
  <si>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</si>
  <si>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</si>
  <si>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</si>
  <si>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</si>
  <si>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</si>
  <si>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</si>
  <si>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</si>
  <si>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</si>
  <si>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</si>
  <si>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</si>
  <si>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</si>
  <si>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</si>
  <si>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</si>
  <si>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</si>
  <si>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</si>
  <si>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</si>
  <si>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</si>
  <si>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</si>
  <si>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</si>
  <si>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</si>
  <si>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</si>
  <si>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</si>
  <si>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</si>
  <si>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</si>
  <si>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</si>
  <si>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</si>
  <si>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</si>
  <si>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</si>
  <si>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</si>
  <si>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</si>
  <si>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</si>
  <si>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</si>
  <si>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</si>
  <si>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</si>
  <si>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</si>
  <si>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</si>
  <si>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</si>
  <si>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</si>
  <si>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</si>
  <si>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</si>
  <si>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</si>
  <si>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</si>
  <si>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</si>
  <si>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</si>
  <si>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</si>
  <si>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</si>
  <si>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</si>
  <si>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</si>
  <si>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</si>
  <si>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</si>
  <si>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</si>
  <si>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</si>
  <si>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</si>
  <si>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</si>
  <si>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</si>
  <si>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</si>
  <si>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</si>
  <si>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</si>
  <si>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</si>
  <si>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</si>
  <si>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</si>
  <si>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</si>
  <si>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</si>
  <si>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</si>
  <si>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</si>
  <si>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</si>
  <si>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</si>
  <si>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</si>
  <si>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</si>
  <si>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</si>
  <si>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</si>
  <si>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</si>
  <si>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</si>
  <si>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</si>
  <si>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</si>
  <si>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</si>
  <si>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</si>
  <si>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하재열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2026.07.13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</si>
  <si>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</si>
  <si>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</si>
  <si>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2,401,857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</si>
  <si>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</si>
  <si>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</si>
  <si>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</si>
  <si>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</si>
  <si>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</si>
  <si>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</si>
  <si>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신한생명</t>
  </si>
  <si>
    <t xml:space="preserve">질병수술</t>
  </si>
  <si>
    <t xml:space="preserve">https://search.naver.com/search.naver?query=%EC%8B%A0%ED%95%9C%EC%83%9D%EB%AA%85%20%EC%98%A4%EB%A0%8C%EC%A7%80%20%ED%81%90%EB%B8%8C%20%EC%A2%85%ED%95%A9%EA%B1%B4%EA%B0%95%EC%83%81%ED%95%B4%EB%B3%B4%ED%97%98%20%EB%AC%B4%EB%B0%B0%20%EC%A7%88%EB%B3%91%EC%88%98%EC%88%A0%20%EC%95%BD%EA%B4%80%20%EB%B3%B4%EC%9E%A5%EB%82%B4%EC%9A%A9</t>
  </si>
  <si>
    <t xml:space="preserve">질병종수술</t>
  </si>
  <si>
    <t xml:space="preserve">https://search.naver.com/search.naver?query=%EC%8B%A0%ED%95%9C%EC%83%9D%EB%AA%85%20%EC%98%A4%EB%A0%8C%EC%A7%80%20%ED%81%90%EB%B8%8C%20%EC%A2%85%ED%95%A9%EA%B1%B4%EA%B0%95%EC%83%81%ED%95%B4%EB%B3%B4%ED%97%98%20%EB%AC%B4%EB%B0%B0%20%EC%A7%88%EB%B3%91%EC%A2%85%EC%88%98%EC%88%A0%20%EC%95%BD%EA%B4%80%20%EB%B3%B4%EC%9E%A5%EB%82%B4%EC%9A%A9</t>
  </si>
  <si>
    <t xml:space="preserve">특정질병수술</t>
  </si>
  <si>
    <t xml:space="preserve">https://search.naver.com/search.naver?query=%EC%8B%A0%ED%95%9C%EC%83%9D%EB%AA%85%20%EC%98%A4%EB%A0%8C%EC%A7%80%20%ED%81%90%EB%B8%8C%20%EC%A2%85%ED%95%A9%EA%B1%B4%EA%B0%95%EC%83%81%ED%95%B4%EB%B3%B4%ED%97%98%20%EB%AC%B4%EB%B0%B0%20%ED%8A%B9%EC%A0%95%EC%A7%88%EB%B3%91%EC%88%98%EC%88%A0%20%EC%95%BD%EA%B4%80%20%EB%B3%B4%EC%9E%A5%EB%82%B4%EC%9A%A9</t>
  </si>
  <si>
    <t xml:space="preserve">상해수술</t>
  </si>
  <si>
    <t xml:space="preserve">https://search.naver.com/search.naver?query=%EC%8B%A0%ED%95%9C%EC%83%9D%EB%AA%85%20%EC%98%A4%EB%A0%8C%EC%A7%80%20%ED%81%90%EB%B8%8C%20%EC%A2%85%ED%95%A9%EA%B1%B4%EA%B0%95%EC%83%81%ED%95%B4%EB%B3%B4%ED%97%98%20%EB%AC%B4%EB%B0%B0%20%EC%83%81%ED%95%B4%EC%88%98%EC%88%A0%20%EC%95%BD%EA%B4%80%20%EB%B3%B4%EC%9E%A5%EB%82%B4%EC%9A%A9</t>
  </si>
  <si>
    <t xml:space="preserve">상해종수술</t>
  </si>
  <si>
    <t xml:space="preserve">https://search.naver.com/search.naver?query=%EC%8B%A0%ED%95%9C%EC%83%9D%EB%AA%85%20%EC%98%A4%EB%A0%8C%EC%A7%80%20%ED%81%90%EB%B8%8C%20%EC%A2%85%ED%95%A9%EA%B1%B4%EA%B0%95%EC%83%81%ED%95%B4%EB%B3%B4%ED%97%98%20%EB%AC%B4%EB%B0%B0%20%EC%83%81%ED%95%B4%EC%A2%85%EC%88%98%EC%88%A0%20%EC%95%BD%EA%B4%80%20%EB%B3%B4%EC%9E%A5%EB%82%B4%EC%9A%A9</t>
  </si>
  <si>
    <t xml:space="preserve">치매진단</t>
  </si>
  <si>
    <t xml:space="preserve">https://search.naver.com/search.naver?query=%EC%8B%A0%ED%95%9C%EC%83%9D%EB%AA%85%20%EA%B0%84%ED%8E%B8%EA%B0%80%EC%9E%85%20%EC%98%A4%EB%A0%8C%EC%A7%80%20%EC%B9%98%EB%A7%A4%EA%B0%84%EB%B3%91%EB%B3%B4%ED%97%98%20%20%EB%AC%B4%20%EC%B9%98%EB%A7%A4%EC%A7%84%EB%8B%A8%20%EC%95%BD%EA%B4%80%20%EB%B3%B4%EC%9E%A5%EB%82%B4%EC%9A%A9</t>
  </si>
  <si>
    <t xml:space="preserve">경증치매진단</t>
  </si>
  <si>
    <t xml:space="preserve">https://search.naver.com/search.naver?query=%EC%8B%A0%ED%95%9C%EC%83%9D%EB%AA%85%20%EA%B0%84%ED%8E%B8%EA%B0%80%EC%9E%85%20%EC%98%A4%EB%A0%8C%EC%A7%80%20%EC%B9%98%EB%A7%A4%EA%B0%84%EB%B3%91%EB%B3%B4%ED%97%98%20%20%EB%AC%B4%20%EA%B2%BD%EC%A6%9D%EC%B9%98%EB%A7%A4%EC%A7%84%EB%8B%A8%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</si>
  <si>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KB</t>
    </r>
    <r>
      <rPr>
        <sz val="11"/>
        <color rgb="FF000000"/>
        <rFont val="Noto Sans CJK SC"/>
        <family val="2"/>
      </rPr>
      <t xml:space="preserve">손보</t>
    </r>
  </si>
  <si>
    <t xml:space="preserve">보복운전피해보장</t>
  </si>
  <si>
    <t xml:space="preserve">https://search.naver.com/search.naver?query=KB%EC%86%90%EB%B3%B4%20KB%20%ED%94%8C%EB%9F%AC%EC%8A%A4%20%EC%9A%B4%EC%A0%84%EC%9E%90%EC%83%81%ED%95%B4%EB%B3%B4%ED%97%98%20%EB%AC%B4%EB%B0%B0%EB%8B%B9%20%EB%B3%B4%EB%B3%B5%EC%9A%B4%EC%A0%84%ED%94%BC%ED%95%B4%EB%B3%B4%EC%9E%A5%20%EC%95%BD%EA%B4%80%20%EB%B3%B4%EC%9E%A5%EB%82%B4%EC%9A%A9</t>
  </si>
  <si>
    <r>
      <rPr>
        <sz val="11"/>
        <color rgb="FF000000"/>
        <rFont val="Noto Sans CJK SC"/>
        <family val="2"/>
      </rPr>
      <t xml:space="preserve">자동차사고부상보장</t>
    </r>
    <r>
      <rPr>
        <sz val="11"/>
        <color rgb="FF000000"/>
        <rFont val="맑은 고딕"/>
        <family val="3"/>
        <charset val="129"/>
      </rPr>
      <t xml:space="preserve">(1~7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기본계약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</si>
  <si>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KB%EC%86%90%EB%B3%B4%20KB%20%ED%94%8C%EB%9F%AC%EC%8A%A4%20%EC%9A%B4%EC%A0%84%EC%9E%90%EC%83%81%ED%95%B4%EB%B3%B4%ED%97%98%20%EB%AC%B4%EB%B0%B0%EB%8B%B9%20%EC%9E%90%EB%8F%99%EC%B0%A8%EC%82%AC%EA%B3%A0%EB%B6%80%EC%83%81%EB%B3%B4%EC%9E%A5%281~%20%EC%95%BD%EA%B4%80%20%EB%B3%B4%EC%9E%A5%EB%82%B4%EC%9A%A9</t>
  </si>
  <si>
    <r>
      <rPr>
        <sz val="11"/>
        <color rgb="FF000000"/>
        <rFont val="Noto Sans CJK SC"/>
        <family val="2"/>
      </rPr>
      <t xml:space="preserve">자동차사고부상보장</t>
    </r>
    <r>
      <rPr>
        <sz val="11"/>
        <color rgb="FF000000"/>
        <rFont val="맑은 고딕"/>
        <family val="3"/>
        <charset val="129"/>
      </rPr>
      <t xml:space="preserve">A(1~3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</si>
  <si>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KB%EC%86%90%EB%B3%B4%20KB%20%ED%94%8C%EB%9F%AC%EC%8A%A4%20%EC%9A%B4%EC%A0%84%EC%9E%90%EC%83%81%ED%95%B4%EB%B3%B4%ED%97%98%20%EB%AC%B4%EB%B0%B0%EB%8B%B9%20%EC%9E%90%EB%8F%99%EC%B0%A8%EC%82%AC%EA%B3%A0%EB%B6%80%EC%83%81%EB%B3%B4%EC%9E%A5A%281%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</si>
  <si>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AXA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</si>
  <si>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)5</t>
    </r>
    <r>
      <rPr>
        <sz val="11"/>
        <color rgb="FF000000"/>
        <rFont val="Noto Sans CJK SC"/>
        <family val="2"/>
      </rPr>
      <t xml:space="preserve">대고액치료비암진단금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간편심사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</si>
  <si>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AXA%EC%86%90%EB%B3%B4%20%EA%B0%84%ED%8E%B8%EC%8B%AC%EC%82%AC%EA%B1%B4%EA%B0%95%EB%B3%B4%ED%97%98%20%28%EA%B0%B1%EC%8B%A0%ED%98%95%295%EB%8C%80%EA%B3%A0%EC%95%A1%EC%B9%98%EB%A3%8C%EB%B9%84%20%EC%95%BD%EA%B4%80%20%EB%B3%B4%EC%9E%A5%EB%82%B4%EC%9A%A9</t>
  </si>
  <si>
    <t xml:space="preserve">삼성생명</t>
  </si>
  <si>
    <r>
      <rPr>
        <sz val="11"/>
        <color rgb="FF000000"/>
        <rFont val="Noto Sans CJK SC"/>
        <family val="2"/>
      </rPr>
      <t xml:space="preserve">치매진단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중증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</si>
  <si>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A%B0%84%ED%8E%B8%EA%B0%80%EC%9E%85%EC%A2%85%ED%95%A9%EA%B0%84%EB%B3%91%EB%B3%B4%ED%97%982.0%E7%84%A1%20%EC%B9%98%EB%A7%A4%EC%A7%84%EB%8B%A8%28%EC%A4%91%EC%A6%9D%29%20%EC%95%BD%EA%B4%80%20%EB%B3%B4%EC%9E%A5%EB%82%B4%EC%9A%A9</t>
  </si>
  <si>
    <r>
      <rPr>
        <sz val="11"/>
        <color rgb="FF000000"/>
        <rFont val="Noto Sans CJK SC"/>
        <family val="2"/>
      </rPr>
      <t xml:space="preserve">치매진단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경증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</si>
  <si>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A%B0%84%ED%8E%B8%EA%B0%80%EC%9E%85%EC%A2%85%ED%95%A9%EA%B0%84%EB%B3%91%EB%B3%B4%ED%97%982.0%E7%84%A1%20%EC%B9%98%EB%A7%A4%EC%A7%84%EB%8B%A8%28%EA%B2%BD%EC%A6%9D%29%20%EC%95%BD%EA%B4%80%20%EB%B3%B4%EC%9E%A5%EB%82%B4%EC%9A%A9</t>
  </si>
  <si>
    <t xml:space="preserve">기타</t>
  </si>
  <si>
    <t xml:space="preserve">https://search.naver.com/search.naver?query=%EC%82%BC%EC%84%B1%EC%83%9D%EB%AA%85%20%EA%B0%84%ED%8E%B8%EA%B0%80%EC%9E%85%EC%A2%85%ED%95%A9%EA%B0%84%EB%B3%91%EB%B3%B4%ED%97%982.0%E7%84%A1%20%EA%B8%B0%ED%83%80%20%EC%95%BD%EA%B4%80%20%EB%B3%B4%EC%9E%A5%EB%82%B4%EC%9A%A9</t>
  </si>
  <si>
    <t xml:space="preserve">새마을금고중앙회</t>
  </si>
  <si>
    <t xml:space="preserve">화재벌금</t>
  </si>
  <si>
    <t xml:space="preserve">https://search.naver.com/search.naver?query=%EC%83%88%EB%A7%88%EC%9D%84%EA%B8%88%EA%B3%A0%EC%A4%91%EC%95%99%ED%9A%8C%20%E7%84%A1MG%EB%A7%88%EC%9D%8C%EB%93%A0%EB%93%A0%ED%95%9C%ED%99%94%EC%9E%AC%EC%A2%85%ED%95%A9%EA%B3%B5%EC%A0%9C%2024A%20%ED%99%94%EC%9E%AC%EB%B2%8C%EA%B8%88%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</si>
  <si>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</si>
  <si>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</si>
  <si>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</si>
  <si>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t xml:space="preserve">급성심근경색진단</t>
  </si>
  <si>
    <t xml:space="preserve">허혈성심장질환진단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</si>
  <si>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급성심근경색증진단금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간편심사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</si>
  <si>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</si>
  <si>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</si>
  <si>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</si>
  <si>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암진단</t>
  </si>
  <si>
    <t xml:space="preserve">암입원일당</t>
  </si>
  <si>
    <t xml:space="preserve">소액암진단</t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</si>
  <si>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</si>
  <si>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암진단금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간편심사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</si>
  <si>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std</t>
  </si>
  <si>
    <t xml:space="preserve">raw</t>
  </si>
  <si>
    <t xml:space="preserve">amt</t>
  </si>
  <si>
    <t xml:space="preserve">뇌졸중진단</t>
  </si>
  <si>
    <t xml:space="preserve">뇌혈관질환진단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</si>
</sst>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19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8" t="s">
        <v>11</v>
      </c>
    </row>
    <row r="2" customFormat="false" ht="16.5" hidden="false" customHeight="true" outlineLevel="0" collapsed="false">
      <c r="A2" s="9" t="s">
        <v>12</v>
      </c>
      <c r="B2" s="9"/>
      <c r="C2" s="10" t="n">
        <v>129132</v>
      </c>
      <c r="D2" s="10" t="n">
        <v>435045</v>
      </c>
      <c r="E2" s="10" t="n">
        <v>1122000</v>
      </c>
      <c r="F2" s="10" t="n">
        <v>234350</v>
      </c>
      <c r="G2" s="10" t="n">
        <v>120900</v>
      </c>
      <c r="H2" s="11" t="n">
        <v>48840</v>
      </c>
      <c r="I2" s="10" t="n">
        <v>17500</v>
      </c>
      <c r="J2" s="11" t="n">
        <v>26840</v>
      </c>
      <c r="K2" s="12" t="n">
        <v>267250</v>
      </c>
      <c r="L2" s="13"/>
      <c r="M2" s="14" t="n">
        <f aca="false">SUM(C2:L2)</f>
        <v>2401857</v>
      </c>
    </row>
    <row r="3" customFormat="false" ht="16.5" hidden="false" customHeight="true" outlineLevel="0" collapsed="false">
      <c r="A3" s="15" t="s">
        <v>13</v>
      </c>
      <c r="B3" s="15"/>
      <c r="C3" s="16" t="s">
        <v>14</v>
      </c>
      <c r="D3" s="16" t="s">
        <v>15</v>
      </c>
      <c r="E3" s="16" t="s">
        <v>16</v>
      </c>
      <c r="F3" s="16" t="s">
        <v>17</v>
      </c>
      <c r="G3" s="16" t="s">
        <v>17</v>
      </c>
      <c r="H3" s="17" t="s">
        <v>17</v>
      </c>
      <c r="I3" s="16" t="s">
        <v>18</v>
      </c>
      <c r="J3" s="17" t="s">
        <v>19</v>
      </c>
      <c r="K3" s="13" t="s">
        <v>20</v>
      </c>
      <c r="L3" s="13" t="s">
        <v>21</v>
      </c>
      <c r="M3" s="18"/>
    </row>
    <row r="4" customFormat="false" ht="16.5" hidden="false" customHeight="true" outlineLevel="0" collapsed="false">
      <c r="A4" s="15" t="s">
        <v>22</v>
      </c>
      <c r="B4" s="15"/>
      <c r="C4" s="16" t="s">
        <v>23</v>
      </c>
      <c r="D4" s="16" t="s">
        <v>23</v>
      </c>
      <c r="E4" s="16" t="s">
        <v>23</v>
      </c>
      <c r="F4" s="16" t="s">
        <v>23</v>
      </c>
      <c r="G4" s="16" t="s">
        <v>24</v>
      </c>
      <c r="H4" s="17" t="s">
        <v>25</v>
      </c>
      <c r="I4" s="16" t="s">
        <v>26</v>
      </c>
      <c r="J4" s="17" t="s">
        <v>27</v>
      </c>
      <c r="K4" s="13" t="s">
        <v>28</v>
      </c>
      <c r="L4" s="13" t="s">
        <v>29</v>
      </c>
      <c r="M4" s="18"/>
    </row>
    <row r="5" customFormat="false" ht="17.25" hidden="false" customHeight="true" outlineLevel="0" collapsed="false">
      <c r="A5" s="15" t="s">
        <v>30</v>
      </c>
      <c r="B5" s="15"/>
      <c r="C5" s="16" t="s">
        <v>31</v>
      </c>
      <c r="D5" s="16" t="s">
        <v>32</v>
      </c>
      <c r="E5" s="16" t="s">
        <v>33</v>
      </c>
      <c r="F5" s="16" t="s">
        <v>31</v>
      </c>
      <c r="G5" s="16" t="s">
        <v>31</v>
      </c>
      <c r="H5" s="17" t="s">
        <v>34</v>
      </c>
      <c r="I5" s="16" t="s">
        <v>31</v>
      </c>
      <c r="J5" s="17" t="s">
        <v>35</v>
      </c>
      <c r="K5" s="13" t="s">
        <v>32</v>
      </c>
      <c r="L5" s="13"/>
      <c r="M5" s="18"/>
    </row>
    <row r="6" customFormat="false" ht="16.5" hidden="false" customHeight="true" outlineLevel="0" collapsed="false">
      <c r="A6" s="19" t="s">
        <v>36</v>
      </c>
      <c r="B6" s="20" t="s">
        <v>37</v>
      </c>
      <c r="C6" s="21"/>
      <c r="D6" s="21"/>
      <c r="E6" s="21"/>
      <c r="F6" s="21"/>
      <c r="G6" s="21"/>
      <c r="H6" s="21"/>
      <c r="I6" s="21"/>
      <c r="J6" s="21"/>
      <c r="K6" s="22"/>
      <c r="L6" s="22"/>
      <c r="M6" s="23" t="n">
        <f aca="false">SUM(C6:L6)</f>
        <v>0</v>
      </c>
    </row>
    <row r="7" customFormat="false" ht="17.25" hidden="false" customHeight="true" outlineLevel="0" collapsed="false">
      <c r="A7" s="19"/>
      <c r="B7" s="24" t="s">
        <v>38</v>
      </c>
      <c r="C7" s="25"/>
      <c r="D7" s="25"/>
      <c r="E7" s="25"/>
      <c r="F7" s="25"/>
      <c r="G7" s="25"/>
      <c r="H7" s="25"/>
      <c r="I7" s="25"/>
      <c r="J7" s="25"/>
      <c r="K7" s="26"/>
      <c r="L7" s="26"/>
      <c r="M7" s="27" t="n">
        <f aca="false">SUM(C7:L7)</f>
        <v>0</v>
      </c>
    </row>
    <row r="8" customFormat="false" ht="17.25" hidden="false" customHeight="true" outlineLevel="0" collapsed="false">
      <c r="A8" s="19"/>
      <c r="B8" s="28" t="s">
        <v>39</v>
      </c>
      <c r="C8" s="29" t="n">
        <v>5000</v>
      </c>
      <c r="D8" s="29" t="n">
        <v>15000</v>
      </c>
      <c r="E8" s="29" t="n">
        <v>20000</v>
      </c>
      <c r="F8" s="29" t="n">
        <v>1000</v>
      </c>
      <c r="G8" s="25"/>
      <c r="H8" s="25"/>
      <c r="I8" s="25"/>
      <c r="J8" s="25"/>
      <c r="K8" s="26"/>
      <c r="L8" s="26"/>
      <c r="M8" s="27" t="n">
        <f aca="false">SUM(C8:L8)</f>
        <v>41000</v>
      </c>
    </row>
    <row r="9" customFormat="false" ht="16.5" hidden="false" customHeight="true" outlineLevel="0" collapsed="false">
      <c r="A9" s="19"/>
      <c r="B9" s="28" t="s">
        <v>40</v>
      </c>
      <c r="C9" s="25"/>
      <c r="D9" s="25"/>
      <c r="E9" s="25"/>
      <c r="F9" s="25"/>
      <c r="G9" s="25"/>
      <c r="H9" s="25"/>
      <c r="I9" s="25"/>
      <c r="J9" s="25"/>
      <c r="K9" s="26"/>
      <c r="L9" s="26"/>
      <c r="M9" s="27" t="n">
        <f aca="false">SUM(C9:L9)</f>
        <v>0</v>
      </c>
    </row>
    <row r="10" customFormat="false" ht="17.25" hidden="false" customHeight="true" outlineLevel="0" collapsed="false">
      <c r="A10" s="19"/>
      <c r="B10" s="30" t="s">
        <v>41</v>
      </c>
      <c r="C10" s="10" t="n">
        <v>25000</v>
      </c>
      <c r="D10" s="10" t="n">
        <v>15000</v>
      </c>
      <c r="E10" s="10" t="n">
        <v>20000</v>
      </c>
      <c r="F10" s="10" t="n">
        <v>1000</v>
      </c>
      <c r="G10" s="31"/>
      <c r="H10" s="31"/>
      <c r="I10" s="10" t="n">
        <v>15000</v>
      </c>
      <c r="J10" s="31"/>
      <c r="K10" s="32"/>
      <c r="L10" s="32"/>
      <c r="M10" s="14" t="n">
        <f aca="false">SUM(C10:L10)</f>
        <v>76000</v>
      </c>
    </row>
    <row r="11" customFormat="false" ht="16.5" hidden="false" customHeight="true" outlineLevel="0" collapsed="false">
      <c r="A11" s="33" t="s">
        <v>42</v>
      </c>
      <c r="B11" s="28" t="s">
        <v>43</v>
      </c>
      <c r="C11" s="29" t="n">
        <v>20000</v>
      </c>
      <c r="D11" s="25"/>
      <c r="E11" s="25"/>
      <c r="F11" s="29" t="n">
        <v>10000</v>
      </c>
      <c r="G11" s="25"/>
      <c r="H11" s="25"/>
      <c r="I11" s="29" t="n">
        <v>5000</v>
      </c>
      <c r="J11" s="25"/>
      <c r="K11" s="26"/>
      <c r="L11" s="26"/>
      <c r="M11" s="27" t="n">
        <f aca="false">SUM(C11:L11)</f>
        <v>35000</v>
      </c>
    </row>
    <row r="12" customFormat="false" ht="16.5" hidden="false" customHeight="true" outlineLevel="0" collapsed="false">
      <c r="A12" s="33"/>
      <c r="B12" s="28" t="s">
        <v>44</v>
      </c>
      <c r="C12" s="25"/>
      <c r="D12" s="25"/>
      <c r="E12" s="25"/>
      <c r="F12" s="25"/>
      <c r="G12" s="25"/>
      <c r="H12" s="25"/>
      <c r="I12" s="25"/>
      <c r="J12" s="34" t="n">
        <v>5000</v>
      </c>
      <c r="K12" s="26"/>
      <c r="L12" s="26"/>
      <c r="M12" s="27" t="n">
        <f aca="false">SUM(C12:L12)</f>
        <v>5000</v>
      </c>
    </row>
    <row r="13" customFormat="false" ht="16.5" hidden="false" customHeight="true" outlineLevel="0" collapsed="false">
      <c r="A13" s="33"/>
      <c r="B13" s="28" t="s">
        <v>45</v>
      </c>
      <c r="C13" s="25"/>
      <c r="D13" s="25"/>
      <c r="E13" s="25"/>
      <c r="F13" s="29" t="n">
        <v>1000</v>
      </c>
      <c r="G13" s="25"/>
      <c r="H13" s="25"/>
      <c r="I13" s="25"/>
      <c r="J13" s="25"/>
      <c r="K13" s="26"/>
      <c r="L13" s="26"/>
      <c r="M13" s="27" t="n">
        <f aca="false">SUM(C13:L13)</f>
        <v>1000</v>
      </c>
    </row>
    <row r="14" customFormat="false" ht="17.25" hidden="false" customHeight="true" outlineLevel="0" collapsed="false">
      <c r="A14" s="33"/>
      <c r="B14" s="30" t="s">
        <v>46</v>
      </c>
      <c r="C14" s="31"/>
      <c r="D14" s="31"/>
      <c r="E14" s="31"/>
      <c r="F14" s="31"/>
      <c r="G14" s="31"/>
      <c r="H14" s="31"/>
      <c r="I14" s="31"/>
      <c r="J14" s="31"/>
      <c r="K14" s="32"/>
      <c r="L14" s="32"/>
      <c r="M14" s="14" t="n">
        <f aca="false">SUM(C14:L14)</f>
        <v>0</v>
      </c>
    </row>
    <row r="15" customFormat="false" ht="17.25" hidden="false" customHeight="true" outlineLevel="0" collapsed="false">
      <c r="A15" s="33" t="s">
        <v>47</v>
      </c>
      <c r="B15" s="28" t="s">
        <v>48</v>
      </c>
      <c r="C15" s="25"/>
      <c r="D15" s="25"/>
      <c r="E15" s="25"/>
      <c r="F15" s="25"/>
      <c r="G15" s="25"/>
      <c r="H15" s="25"/>
      <c r="I15" s="25"/>
      <c r="J15" s="25"/>
      <c r="K15" s="26"/>
      <c r="L15" s="26"/>
      <c r="M15" s="27" t="n">
        <f aca="false">SUM(C15:L15)</f>
        <v>0</v>
      </c>
    </row>
    <row r="16" customFormat="false" ht="16.5" hidden="false" customHeight="true" outlineLevel="0" collapsed="false">
      <c r="A16" s="33"/>
      <c r="B16" s="24" t="s">
        <v>49</v>
      </c>
      <c r="C16" s="29" t="n">
        <v>2000</v>
      </c>
      <c r="D16" s="25"/>
      <c r="E16" s="25"/>
      <c r="F16" s="29" t="n">
        <v>4000</v>
      </c>
      <c r="G16" s="25"/>
      <c r="H16" s="34" t="n">
        <v>5000</v>
      </c>
      <c r="I16" s="25"/>
      <c r="J16" s="34" t="n">
        <v>3000</v>
      </c>
      <c r="K16" s="26"/>
      <c r="L16" s="26"/>
      <c r="M16" s="27" t="n">
        <f aca="false">SUM(C16:L16)</f>
        <v>14000</v>
      </c>
    </row>
    <row r="17" customFormat="false" ht="17.25" hidden="false" customHeight="true" outlineLevel="0" collapsed="false">
      <c r="A17" s="33"/>
      <c r="B17" s="24" t="s">
        <v>50</v>
      </c>
      <c r="C17" s="25"/>
      <c r="D17" s="25"/>
      <c r="E17" s="25"/>
      <c r="F17" s="25"/>
      <c r="G17" s="25"/>
      <c r="H17" s="25"/>
      <c r="I17" s="25"/>
      <c r="J17" s="25"/>
      <c r="K17" s="26"/>
      <c r="L17" s="26"/>
      <c r="M17" s="27" t="n">
        <f aca="false">SUM(C17:L17)</f>
        <v>0</v>
      </c>
    </row>
    <row r="18" customFormat="false" ht="16.5" hidden="false" customHeight="true" outlineLevel="0" collapsed="false">
      <c r="A18" s="33"/>
      <c r="B18" s="28" t="s">
        <v>51</v>
      </c>
      <c r="C18" s="29" t="n">
        <v>200</v>
      </c>
      <c r="D18" s="25"/>
      <c r="E18" s="25"/>
      <c r="F18" s="29" t="n">
        <v>2000</v>
      </c>
      <c r="G18" s="25"/>
      <c r="H18" s="34" t="n">
        <v>1000</v>
      </c>
      <c r="I18" s="25"/>
      <c r="J18" s="34" t="n">
        <v>300</v>
      </c>
      <c r="K18" s="26"/>
      <c r="L18" s="26"/>
      <c r="M18" s="27" t="n">
        <f aca="false">SUM(C18:L18)</f>
        <v>3500</v>
      </c>
    </row>
    <row r="19" customFormat="false" ht="16.5" hidden="false" customHeight="true" outlineLevel="0" collapsed="false">
      <c r="A19" s="33"/>
      <c r="B19" s="28" t="s">
        <v>52</v>
      </c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7" t="n">
        <f aca="false">SUM(C19:L19)</f>
        <v>0</v>
      </c>
    </row>
    <row r="20" customFormat="false" ht="16.5" hidden="false" customHeight="true" outlineLevel="0" collapsed="false">
      <c r="A20" s="33"/>
      <c r="B20" s="28" t="s">
        <v>53</v>
      </c>
      <c r="C20" s="35"/>
      <c r="D20" s="35"/>
      <c r="E20" s="35"/>
      <c r="F20" s="35"/>
      <c r="G20" s="35"/>
      <c r="H20" s="35"/>
      <c r="I20" s="25"/>
      <c r="J20" s="25"/>
      <c r="K20" s="26"/>
      <c r="L20" s="26"/>
      <c r="M20" s="27" t="n">
        <f aca="false">SUM(C20:L20)</f>
        <v>0</v>
      </c>
    </row>
    <row r="21" customFormat="false" ht="16.5" hidden="false" customHeight="true" outlineLevel="0" collapsed="false">
      <c r="A21" s="33"/>
      <c r="B21" s="28" t="s">
        <v>54</v>
      </c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7" t="n">
        <f aca="false">SUM(C21:L21)</f>
        <v>0</v>
      </c>
    </row>
    <row r="22" customFormat="false" ht="16.5" hidden="false" customHeight="true" outlineLevel="0" collapsed="false">
      <c r="A22" s="33"/>
      <c r="B22" s="28" t="s">
        <v>55</v>
      </c>
      <c r="C22" s="35"/>
      <c r="D22" s="35"/>
      <c r="E22" s="35"/>
      <c r="F22" s="35"/>
      <c r="G22" s="35"/>
      <c r="H22" s="35"/>
      <c r="I22" s="25"/>
      <c r="J22" s="25"/>
      <c r="K22" s="26"/>
      <c r="L22" s="26"/>
      <c r="M22" s="27" t="n">
        <f aca="false">IF(COUNT(C22:L22)=0,0,MAX(C22:L22))</f>
        <v>0</v>
      </c>
    </row>
    <row r="23" customFormat="false" ht="16.5" hidden="false" customHeight="true" outlineLevel="0" collapsed="false">
      <c r="A23" s="33"/>
      <c r="B23" s="28" t="s">
        <v>56</v>
      </c>
      <c r="C23" s="35"/>
      <c r="D23" s="35"/>
      <c r="E23" s="35"/>
      <c r="F23" s="35"/>
      <c r="G23" s="35"/>
      <c r="H23" s="34" t="n">
        <v>5000</v>
      </c>
      <c r="I23" s="25"/>
      <c r="J23" s="25"/>
      <c r="K23" s="26"/>
      <c r="L23" s="26"/>
      <c r="M23" s="27" t="n">
        <f aca="false">SUM(C23:L23)</f>
        <v>5000</v>
      </c>
    </row>
    <row r="24" customFormat="false" ht="16.5" hidden="false" customHeight="true" outlineLevel="0" collapsed="false">
      <c r="A24" s="33"/>
      <c r="B24" s="28" t="s">
        <v>57</v>
      </c>
      <c r="C24" s="35"/>
      <c r="D24" s="35"/>
      <c r="E24" s="35"/>
      <c r="F24" s="35"/>
      <c r="G24" s="35"/>
      <c r="H24" s="35"/>
      <c r="I24" s="25"/>
      <c r="J24" s="25"/>
      <c r="K24" s="26"/>
      <c r="L24" s="26"/>
      <c r="M24" s="27" t="n">
        <f aca="false">SUM(C24:L24)</f>
        <v>0</v>
      </c>
    </row>
    <row r="25" customFormat="false" ht="16.5" hidden="false" customHeight="true" outlineLevel="0" collapsed="false">
      <c r="A25" s="33"/>
      <c r="B25" s="28" t="s">
        <v>58</v>
      </c>
      <c r="C25" s="35"/>
      <c r="D25" s="35"/>
      <c r="E25" s="35"/>
      <c r="F25" s="35"/>
      <c r="G25" s="35"/>
      <c r="H25" s="35"/>
      <c r="I25" s="25"/>
      <c r="J25" s="25"/>
      <c r="K25" s="26"/>
      <c r="L25" s="26"/>
      <c r="M25" s="27" t="n">
        <f aca="false">SUM(C25:L25)</f>
        <v>0</v>
      </c>
    </row>
    <row r="26" customFormat="false" ht="16.5" hidden="false" customHeight="true" outlineLevel="0" collapsed="false">
      <c r="A26" s="33"/>
      <c r="B26" s="28" t="s">
        <v>59</v>
      </c>
      <c r="C26" s="35"/>
      <c r="D26" s="35"/>
      <c r="E26" s="35"/>
      <c r="F26" s="35"/>
      <c r="G26" s="35"/>
      <c r="H26" s="35"/>
      <c r="I26" s="25"/>
      <c r="J26" s="25"/>
      <c r="K26" s="26"/>
      <c r="L26" s="26"/>
      <c r="M26" s="27" t="n">
        <f aca="false">SUM(C26:L26)</f>
        <v>0</v>
      </c>
    </row>
    <row r="27" customFormat="false" ht="16.5" hidden="false" customHeight="true" outlineLevel="0" collapsed="false">
      <c r="A27" s="33"/>
      <c r="B27" s="28" t="s">
        <v>60</v>
      </c>
      <c r="C27" s="29" t="n">
        <v>400</v>
      </c>
      <c r="D27" s="25"/>
      <c r="E27" s="25"/>
      <c r="F27" s="29" t="n">
        <v>600</v>
      </c>
      <c r="G27" s="25"/>
      <c r="H27" s="25"/>
      <c r="I27" s="25"/>
      <c r="J27" s="25"/>
      <c r="K27" s="26"/>
      <c r="L27" s="26"/>
      <c r="M27" s="27" t="n">
        <f aca="false">SUM(C27:L27)</f>
        <v>1000</v>
      </c>
    </row>
    <row r="28" customFormat="false" ht="17.25" hidden="false" customHeight="true" outlineLevel="0" collapsed="false">
      <c r="A28" s="33"/>
      <c r="B28" s="28" t="s">
        <v>61</v>
      </c>
      <c r="C28" s="29" t="n">
        <v>20</v>
      </c>
      <c r="D28" s="25"/>
      <c r="E28" s="25"/>
      <c r="F28" s="25"/>
      <c r="G28" s="25"/>
      <c r="H28" s="25"/>
      <c r="I28" s="25"/>
      <c r="J28" s="25"/>
      <c r="K28" s="26"/>
      <c r="L28" s="26"/>
      <c r="M28" s="27" t="n">
        <f aca="false">SUM(C28:L28)</f>
        <v>20</v>
      </c>
    </row>
    <row r="29" customFormat="false" ht="17.25" hidden="false" customHeight="true" outlineLevel="0" collapsed="false">
      <c r="A29" s="33"/>
      <c r="B29" s="30" t="s">
        <v>62</v>
      </c>
      <c r="C29" s="31"/>
      <c r="D29" s="31"/>
      <c r="E29" s="31"/>
      <c r="F29" s="10" t="n">
        <v>150</v>
      </c>
      <c r="G29" s="31"/>
      <c r="H29" s="31"/>
      <c r="I29" s="31"/>
      <c r="J29" s="31"/>
      <c r="K29" s="32"/>
      <c r="L29" s="32"/>
      <c r="M29" s="14" t="n">
        <f aca="false">SUM(C29:L29)</f>
        <v>150</v>
      </c>
    </row>
    <row r="30" customFormat="false" ht="16.5" hidden="false" customHeight="true" outlineLevel="0" collapsed="false">
      <c r="A30" s="33" t="s">
        <v>63</v>
      </c>
      <c r="B30" s="28" t="s">
        <v>64</v>
      </c>
      <c r="C30" s="25"/>
      <c r="D30" s="25"/>
      <c r="E30" s="25"/>
      <c r="F30" s="29" t="n">
        <v>900</v>
      </c>
      <c r="G30" s="25"/>
      <c r="H30" s="25"/>
      <c r="I30" s="25"/>
      <c r="J30" s="25"/>
      <c r="K30" s="26"/>
      <c r="L30" s="26"/>
      <c r="M30" s="27" t="n">
        <f aca="false">SUM(C30:L30)</f>
        <v>900</v>
      </c>
    </row>
    <row r="31" customFormat="false" ht="17.25" hidden="false" customHeight="true" outlineLevel="0" collapsed="false">
      <c r="A31" s="33"/>
      <c r="B31" s="24" t="s">
        <v>65</v>
      </c>
      <c r="C31" s="29" t="n">
        <v>3000</v>
      </c>
      <c r="D31" s="25"/>
      <c r="E31" s="25"/>
      <c r="F31" s="25"/>
      <c r="G31" s="25"/>
      <c r="H31" s="25"/>
      <c r="I31" s="25"/>
      <c r="J31" s="25"/>
      <c r="K31" s="36" t="n">
        <v>500</v>
      </c>
      <c r="L31" s="26"/>
      <c r="M31" s="27" t="n">
        <f aca="false">SUM(C31:L31)</f>
        <v>3500</v>
      </c>
    </row>
    <row r="32" customFormat="false" ht="16.5" hidden="false" customHeight="true" outlineLevel="0" collapsed="false">
      <c r="A32" s="33"/>
      <c r="B32" s="24" t="s">
        <v>66</v>
      </c>
      <c r="C32" s="25"/>
      <c r="D32" s="25"/>
      <c r="E32" s="25"/>
      <c r="F32" s="25"/>
      <c r="G32" s="25"/>
      <c r="H32" s="25"/>
      <c r="I32" s="25"/>
      <c r="J32" s="25"/>
      <c r="K32" s="26"/>
      <c r="L32" s="26"/>
      <c r="M32" s="27" t="n">
        <f aca="false">SUM(C32:L32)</f>
        <v>0</v>
      </c>
    </row>
    <row r="33" customFormat="false" ht="16.5" hidden="false" customHeight="true" outlineLevel="0" collapsed="false">
      <c r="A33" s="33"/>
      <c r="B33" s="28" t="s">
        <v>67</v>
      </c>
      <c r="C33" s="29" t="n">
        <v>3000</v>
      </c>
      <c r="D33" s="25"/>
      <c r="E33" s="25"/>
      <c r="F33" s="29" t="n">
        <v>3000</v>
      </c>
      <c r="G33" s="25"/>
      <c r="H33" s="25"/>
      <c r="I33" s="25"/>
      <c r="J33" s="34" t="n">
        <v>2000</v>
      </c>
      <c r="K33" s="36" t="n">
        <v>2000</v>
      </c>
      <c r="L33" s="26"/>
      <c r="M33" s="27" t="n">
        <f aca="false">SUM(C33:L33)</f>
        <v>10000</v>
      </c>
    </row>
    <row r="34" customFormat="false" ht="16.5" hidden="false" customHeight="true" outlineLevel="0" collapsed="false">
      <c r="A34" s="33"/>
      <c r="B34" s="28" t="s">
        <v>68</v>
      </c>
      <c r="C34" s="25"/>
      <c r="D34" s="25"/>
      <c r="E34" s="25"/>
      <c r="F34" s="25"/>
      <c r="G34" s="25"/>
      <c r="H34" s="25"/>
      <c r="I34" s="25"/>
      <c r="J34" s="25"/>
      <c r="K34" s="26"/>
      <c r="L34" s="26"/>
      <c r="M34" s="27" t="n">
        <f aca="false">SUM(C34:L34)</f>
        <v>0</v>
      </c>
    </row>
    <row r="35" customFormat="false" ht="16.5" hidden="false" customHeight="true" outlineLevel="0" collapsed="false">
      <c r="A35" s="33"/>
      <c r="B35" s="28" t="s">
        <v>69</v>
      </c>
      <c r="C35" s="25"/>
      <c r="D35" s="25"/>
      <c r="E35" s="25"/>
      <c r="F35" s="25"/>
      <c r="G35" s="25"/>
      <c r="H35" s="25"/>
      <c r="I35" s="25"/>
      <c r="J35" s="25"/>
      <c r="K35" s="26"/>
      <c r="L35" s="26"/>
      <c r="M35" s="27" t="n">
        <f aca="false">SUM(C35:L35)</f>
        <v>0</v>
      </c>
    </row>
    <row r="36" customFormat="false" ht="16.5" hidden="false" customHeight="true" outlineLevel="0" collapsed="false">
      <c r="A36" s="33"/>
      <c r="B36" s="28" t="s">
        <v>70</v>
      </c>
      <c r="C36" s="25"/>
      <c r="D36" s="25"/>
      <c r="E36" s="25"/>
      <c r="F36" s="25"/>
      <c r="G36" s="25"/>
      <c r="H36" s="25"/>
      <c r="I36" s="25"/>
      <c r="J36" s="25"/>
      <c r="K36" s="26"/>
      <c r="L36" s="26"/>
      <c r="M36" s="27" t="n">
        <f aca="false">SUM(C36:L36)</f>
        <v>0</v>
      </c>
    </row>
    <row r="37" customFormat="false" ht="16.5" hidden="false" customHeight="true" outlineLevel="0" collapsed="false">
      <c r="A37" s="33"/>
      <c r="B37" s="30" t="s">
        <v>71</v>
      </c>
      <c r="C37" s="31"/>
      <c r="D37" s="31"/>
      <c r="E37" s="31"/>
      <c r="F37" s="31"/>
      <c r="G37" s="31"/>
      <c r="H37" s="31"/>
      <c r="I37" s="31"/>
      <c r="J37" s="31"/>
      <c r="K37" s="32"/>
      <c r="L37" s="32"/>
      <c r="M37" s="14" t="n">
        <f aca="false">SUM(C37:L37)</f>
        <v>0</v>
      </c>
    </row>
    <row r="38" customFormat="false" ht="16.5" hidden="false" customHeight="true" outlineLevel="0" collapsed="false">
      <c r="A38" s="33" t="s">
        <v>72</v>
      </c>
      <c r="B38" s="28" t="s">
        <v>73</v>
      </c>
      <c r="C38" s="25"/>
      <c r="D38" s="25"/>
      <c r="E38" s="25"/>
      <c r="F38" s="25"/>
      <c r="G38" s="25"/>
      <c r="H38" s="25"/>
      <c r="I38" s="25"/>
      <c r="J38" s="25"/>
      <c r="K38" s="26"/>
      <c r="L38" s="26"/>
      <c r="M38" s="27" t="n">
        <f aca="false">SUM(C38:L38)</f>
        <v>0</v>
      </c>
    </row>
    <row r="39" customFormat="false" ht="16.5" hidden="false" customHeight="true" outlineLevel="0" collapsed="false">
      <c r="A39" s="33"/>
      <c r="B39" s="28" t="s">
        <v>74</v>
      </c>
      <c r="C39" s="25"/>
      <c r="D39" s="25"/>
      <c r="E39" s="25"/>
      <c r="F39" s="25"/>
      <c r="G39" s="25"/>
      <c r="H39" s="25"/>
      <c r="I39" s="25"/>
      <c r="J39" s="25"/>
      <c r="K39" s="26"/>
      <c r="L39" s="26"/>
      <c r="M39" s="27" t="n">
        <f aca="false">SUM(C39:L39)</f>
        <v>0</v>
      </c>
    </row>
    <row r="40" customFormat="false" ht="16.5" hidden="false" customHeight="true" outlineLevel="0" collapsed="false">
      <c r="A40" s="33"/>
      <c r="B40" s="28" t="s">
        <v>75</v>
      </c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7" t="n">
        <f aca="false">SUM(C40:L40)</f>
        <v>0</v>
      </c>
    </row>
    <row r="41" customFormat="false" ht="17.25" hidden="false" customHeight="true" outlineLevel="0" collapsed="false">
      <c r="A41" s="33"/>
      <c r="B41" s="28" t="s">
        <v>76</v>
      </c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7" t="n">
        <f aca="false">SUM(C41:L41)</f>
        <v>0</v>
      </c>
    </row>
    <row r="42" customFormat="false" ht="16.5" hidden="false" customHeight="true" outlineLevel="0" collapsed="false">
      <c r="A42" s="33"/>
      <c r="B42" s="28" t="s">
        <v>77</v>
      </c>
      <c r="C42" s="25"/>
      <c r="D42" s="25"/>
      <c r="E42" s="25"/>
      <c r="F42" s="25"/>
      <c r="G42" s="25"/>
      <c r="H42" s="25"/>
      <c r="I42" s="25"/>
      <c r="J42" s="25"/>
      <c r="K42" s="26"/>
      <c r="L42" s="26"/>
      <c r="M42" s="27" t="n">
        <f aca="false">SUM(C42:L42)</f>
        <v>0</v>
      </c>
    </row>
    <row r="43" customFormat="false" ht="16.5" hidden="false" customHeight="true" outlineLevel="0" collapsed="false">
      <c r="A43" s="33"/>
      <c r="B43" s="28" t="s">
        <v>78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 t="n">
        <f aca="false">SUM(C43:L43)</f>
        <v>0</v>
      </c>
    </row>
    <row r="44" customFormat="false" ht="17.25" hidden="false" customHeight="true" outlineLevel="0" collapsed="false">
      <c r="A44" s="33"/>
      <c r="B44" s="28" t="s">
        <v>79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7" t="n">
        <f aca="false">SUM(C44:L44)</f>
        <v>0</v>
      </c>
    </row>
    <row r="45" customFormat="false" ht="17.25" hidden="false" customHeight="true" outlineLevel="0" collapsed="false">
      <c r="A45" s="33"/>
      <c r="B45" s="28" t="s">
        <v>80</v>
      </c>
      <c r="C45" s="25"/>
      <c r="D45" s="25"/>
      <c r="E45" s="25"/>
      <c r="F45" s="25"/>
      <c r="G45" s="25"/>
      <c r="H45" s="25"/>
      <c r="I45" s="25"/>
      <c r="J45" s="25"/>
      <c r="K45" s="26"/>
      <c r="L45" s="26"/>
      <c r="M45" s="27" t="n">
        <f aca="false">SUM(C45:L45)</f>
        <v>0</v>
      </c>
    </row>
    <row r="46" customFormat="false" ht="16.5" hidden="false" customHeight="true" outlineLevel="0" collapsed="false">
      <c r="A46" s="33"/>
      <c r="B46" s="37" t="s">
        <v>81</v>
      </c>
      <c r="C46" s="25"/>
      <c r="D46" s="25"/>
      <c r="E46" s="25"/>
      <c r="F46" s="25"/>
      <c r="G46" s="25"/>
      <c r="H46" s="25"/>
      <c r="I46" s="25"/>
      <c r="J46" s="25"/>
      <c r="K46" s="26"/>
      <c r="L46" s="26"/>
      <c r="M46" s="27" t="n">
        <f aca="false">SUM(C46:L46)</f>
        <v>0</v>
      </c>
    </row>
    <row r="47" customFormat="false" ht="16.5" hidden="false" customHeight="true" outlineLevel="0" collapsed="false">
      <c r="A47" s="33"/>
      <c r="B47" s="38" t="s">
        <v>82</v>
      </c>
      <c r="C47" s="25"/>
      <c r="D47" s="25"/>
      <c r="E47" s="25"/>
      <c r="F47" s="29" t="n">
        <v>900</v>
      </c>
      <c r="G47" s="25"/>
      <c r="H47" s="25"/>
      <c r="I47" s="25"/>
      <c r="J47" s="25"/>
      <c r="K47" s="26"/>
      <c r="L47" s="26"/>
      <c r="M47" s="27" t="n">
        <f aca="false">SUM(C47:L47)</f>
        <v>900</v>
      </c>
    </row>
    <row r="48" customFormat="false" ht="16.5" hidden="false" customHeight="true" outlineLevel="0" collapsed="false">
      <c r="A48" s="33"/>
      <c r="B48" s="24" t="s">
        <v>83</v>
      </c>
      <c r="C48" s="29" t="n">
        <v>6000</v>
      </c>
      <c r="D48" s="25"/>
      <c r="E48" s="25"/>
      <c r="F48" s="29" t="n">
        <v>3000</v>
      </c>
      <c r="G48" s="25"/>
      <c r="H48" s="25"/>
      <c r="I48" s="25"/>
      <c r="J48" s="34" t="n">
        <v>2000</v>
      </c>
      <c r="K48" s="26"/>
      <c r="L48" s="26"/>
      <c r="M48" s="27" t="n">
        <f aca="false">SUM(C48:L48)</f>
        <v>11000</v>
      </c>
    </row>
    <row r="49" customFormat="false" ht="16.5" hidden="false" customHeight="true" outlineLevel="0" collapsed="false">
      <c r="A49" s="33"/>
      <c r="B49" s="24" t="s">
        <v>84</v>
      </c>
      <c r="C49" s="25"/>
      <c r="D49" s="25"/>
      <c r="E49" s="25"/>
      <c r="F49" s="25"/>
      <c r="G49" s="25"/>
      <c r="H49" s="25"/>
      <c r="I49" s="25"/>
      <c r="J49" s="25"/>
      <c r="K49" s="26"/>
      <c r="L49" s="26"/>
      <c r="M49" s="27" t="n">
        <f aca="false">SUM(C49:L49)</f>
        <v>0</v>
      </c>
    </row>
    <row r="50" customFormat="false" ht="16.5" hidden="false" customHeight="true" outlineLevel="0" collapsed="false">
      <c r="A50" s="33"/>
      <c r="B50" s="30" t="s">
        <v>71</v>
      </c>
      <c r="C50" s="31"/>
      <c r="D50" s="31"/>
      <c r="E50" s="31"/>
      <c r="F50" s="31"/>
      <c r="G50" s="31"/>
      <c r="H50" s="31"/>
      <c r="I50" s="31"/>
      <c r="J50" s="31"/>
      <c r="K50" s="32"/>
      <c r="L50" s="32"/>
      <c r="M50" s="14" t="n">
        <f aca="false">SUM(C50:L50)</f>
        <v>0</v>
      </c>
    </row>
    <row r="51" customFormat="false" ht="16.5" hidden="false" customHeight="true" outlineLevel="0" collapsed="false">
      <c r="A51" s="33" t="s">
        <v>85</v>
      </c>
      <c r="B51" s="28" t="s">
        <v>86</v>
      </c>
      <c r="C51" s="25"/>
      <c r="D51" s="25"/>
      <c r="E51" s="25"/>
      <c r="F51" s="29" t="n">
        <v>2</v>
      </c>
      <c r="G51" s="25"/>
      <c r="H51" s="25"/>
      <c r="I51" s="25"/>
      <c r="J51" s="25"/>
      <c r="K51" s="26"/>
      <c r="L51" s="26"/>
      <c r="M51" s="27" t="n">
        <f aca="false">SUM(C51:L51)</f>
        <v>2</v>
      </c>
    </row>
    <row r="52" customFormat="false" ht="16.5" hidden="false" customHeight="true" outlineLevel="0" collapsed="false">
      <c r="A52" s="33"/>
      <c r="B52" s="28" t="s">
        <v>87</v>
      </c>
      <c r="C52" s="25"/>
      <c r="D52" s="25"/>
      <c r="E52" s="25"/>
      <c r="F52" s="25"/>
      <c r="G52" s="25"/>
      <c r="H52" s="25"/>
      <c r="I52" s="25"/>
      <c r="J52" s="25"/>
      <c r="K52" s="26"/>
      <c r="L52" s="26"/>
      <c r="M52" s="27" t="n">
        <f aca="false">SUM(C52:L52)</f>
        <v>0</v>
      </c>
    </row>
    <row r="53" customFormat="false" ht="16.5" hidden="false" customHeight="true" outlineLevel="0" collapsed="false">
      <c r="A53" s="33"/>
      <c r="B53" s="28" t="s">
        <v>88</v>
      </c>
      <c r="C53" s="25"/>
      <c r="D53" s="25"/>
      <c r="E53" s="25"/>
      <c r="F53" s="25"/>
      <c r="G53" s="25"/>
      <c r="H53" s="25"/>
      <c r="I53" s="25"/>
      <c r="J53" s="25"/>
      <c r="K53" s="26"/>
      <c r="L53" s="26"/>
      <c r="M53" s="27" t="n">
        <f aca="false">SUM(C53:L53)</f>
        <v>0</v>
      </c>
    </row>
    <row r="54" customFormat="false" ht="16.5" hidden="false" customHeight="true" outlineLevel="0" collapsed="false">
      <c r="A54" s="33"/>
      <c r="B54" s="28" t="s">
        <v>89</v>
      </c>
      <c r="C54" s="25"/>
      <c r="D54" s="25"/>
      <c r="E54" s="25"/>
      <c r="F54" s="29" t="n">
        <v>2</v>
      </c>
      <c r="G54" s="25"/>
      <c r="H54" s="25"/>
      <c r="I54" s="25"/>
      <c r="J54" s="25"/>
      <c r="K54" s="26"/>
      <c r="L54" s="26"/>
      <c r="M54" s="27" t="n">
        <f aca="false">SUM(C54:L54)</f>
        <v>2</v>
      </c>
    </row>
    <row r="55" customFormat="false" ht="16.5" hidden="false" customHeight="true" outlineLevel="0" collapsed="false">
      <c r="A55" s="33"/>
      <c r="B55" s="28" t="s">
        <v>90</v>
      </c>
      <c r="C55" s="25"/>
      <c r="D55" s="25"/>
      <c r="E55" s="25"/>
      <c r="F55" s="25"/>
      <c r="G55" s="25"/>
      <c r="H55" s="25"/>
      <c r="I55" s="25"/>
      <c r="J55" s="25"/>
      <c r="K55" s="26"/>
      <c r="L55" s="26"/>
      <c r="M55" s="27" t="n">
        <f aca="false">SUM(C55:L55)</f>
        <v>0</v>
      </c>
    </row>
    <row r="56" customFormat="false" ht="16.5" hidden="false" customHeight="true" outlineLevel="0" collapsed="false">
      <c r="A56" s="33"/>
      <c r="B56" s="28" t="s">
        <v>91</v>
      </c>
      <c r="C56" s="25"/>
      <c r="D56" s="25"/>
      <c r="E56" s="25"/>
      <c r="F56" s="25"/>
      <c r="G56" s="25"/>
      <c r="H56" s="25"/>
      <c r="I56" s="25"/>
      <c r="J56" s="25"/>
      <c r="K56" s="26"/>
      <c r="L56" s="26"/>
      <c r="M56" s="27" t="n">
        <f aca="false">IF(COUNT(C56:L56)=0,0,MAX(C56:L56))</f>
        <v>0</v>
      </c>
    </row>
    <row r="57" customFormat="false" ht="16.5" hidden="false" customHeight="true" outlineLevel="0" collapsed="false">
      <c r="A57" s="33"/>
      <c r="B57" s="28" t="s">
        <v>92</v>
      </c>
      <c r="C57" s="25"/>
      <c r="D57" s="25"/>
      <c r="E57" s="25"/>
      <c r="F57" s="25"/>
      <c r="G57" s="25"/>
      <c r="H57" s="25"/>
      <c r="I57" s="25"/>
      <c r="J57" s="25"/>
      <c r="K57" s="26"/>
      <c r="L57" s="26"/>
      <c r="M57" s="27" t="n">
        <f aca="false">SUM(C57:L57)</f>
        <v>0</v>
      </c>
    </row>
    <row r="58" customFormat="false" ht="16.5" hidden="false" customHeight="true" outlineLevel="0" collapsed="false">
      <c r="A58" s="33"/>
      <c r="B58" s="28" t="s">
        <v>93</v>
      </c>
      <c r="C58" s="25"/>
      <c r="D58" s="25"/>
      <c r="E58" s="25"/>
      <c r="F58" s="25"/>
      <c r="G58" s="25"/>
      <c r="H58" s="25"/>
      <c r="I58" s="25"/>
      <c r="J58" s="25"/>
      <c r="K58" s="26"/>
      <c r="L58" s="26"/>
      <c r="M58" s="27" t="n">
        <f aca="false">IF(COUNT(C58:L58)=0,0,MAX(C58:L58))</f>
        <v>0</v>
      </c>
    </row>
    <row r="59" customFormat="false" ht="16.5" hidden="false" customHeight="true" outlineLevel="0" collapsed="false">
      <c r="A59" s="33"/>
      <c r="B59" s="37" t="s">
        <v>94</v>
      </c>
      <c r="C59" s="25"/>
      <c r="D59" s="25"/>
      <c r="E59" s="25"/>
      <c r="F59" s="25"/>
      <c r="G59" s="25"/>
      <c r="H59" s="25"/>
      <c r="I59" s="25"/>
      <c r="J59" s="25"/>
      <c r="K59" s="26"/>
      <c r="L59" s="26"/>
      <c r="M59" s="27" t="n">
        <f aca="false">SUM(C59:L59)</f>
        <v>0</v>
      </c>
    </row>
    <row r="60" customFormat="false" ht="16.5" hidden="false" customHeight="true" outlineLevel="0" collapsed="false">
      <c r="A60" s="33"/>
      <c r="B60" s="37" t="s">
        <v>95</v>
      </c>
      <c r="C60" s="25"/>
      <c r="D60" s="25"/>
      <c r="E60" s="25"/>
      <c r="F60" s="25"/>
      <c r="G60" s="25"/>
      <c r="H60" s="25"/>
      <c r="I60" s="25"/>
      <c r="J60" s="25"/>
      <c r="K60" s="26"/>
      <c r="L60" s="26"/>
      <c r="M60" s="27" t="n">
        <f aca="false">SUM(C60:L60)</f>
        <v>0</v>
      </c>
    </row>
    <row r="61" customFormat="false" ht="16.5" hidden="false" customHeight="true" outlineLevel="0" collapsed="false">
      <c r="A61" s="33"/>
      <c r="B61" s="28" t="s">
        <v>96</v>
      </c>
      <c r="C61" s="25"/>
      <c r="D61" s="25"/>
      <c r="E61" s="25"/>
      <c r="F61" s="29" t="n">
        <v>2</v>
      </c>
      <c r="G61" s="25"/>
      <c r="H61" s="25"/>
      <c r="I61" s="25"/>
      <c r="J61" s="25"/>
      <c r="K61" s="26"/>
      <c r="L61" s="26"/>
      <c r="M61" s="27" t="n">
        <f aca="false">SUM(C61:L61)</f>
        <v>2</v>
      </c>
    </row>
    <row r="62" customFormat="false" ht="17.25" hidden="false" customHeight="true" outlineLevel="0" collapsed="false">
      <c r="A62" s="33"/>
      <c r="B62" s="30" t="s">
        <v>97</v>
      </c>
      <c r="C62" s="31"/>
      <c r="D62" s="31"/>
      <c r="E62" s="31"/>
      <c r="F62" s="10" t="n">
        <v>2</v>
      </c>
      <c r="G62" s="31"/>
      <c r="H62" s="31"/>
      <c r="I62" s="31"/>
      <c r="J62" s="31"/>
      <c r="K62" s="32"/>
      <c r="L62" s="32"/>
      <c r="M62" s="14" t="n">
        <f aca="false">SUM(C62:L62)</f>
        <v>2</v>
      </c>
    </row>
    <row r="63" customFormat="false" ht="17.25" hidden="false" customHeight="true" outlineLevel="0" collapsed="false">
      <c r="A63" s="33" t="s">
        <v>98</v>
      </c>
      <c r="B63" s="28" t="s">
        <v>99</v>
      </c>
      <c r="C63" s="25"/>
      <c r="D63" s="25"/>
      <c r="E63" s="25"/>
      <c r="F63" s="25"/>
      <c r="G63" s="25"/>
      <c r="H63" s="25"/>
      <c r="I63" s="29" t="n">
        <v>50</v>
      </c>
      <c r="J63" s="25"/>
      <c r="K63" s="26"/>
      <c r="L63" s="26"/>
      <c r="M63" s="27" t="n">
        <f aca="false">SUM(C63:L63)</f>
        <v>50</v>
      </c>
    </row>
    <row r="64" customFormat="false" ht="16.5" hidden="false" customHeight="true" outlineLevel="0" collapsed="false">
      <c r="A64" s="33"/>
      <c r="B64" s="28" t="s">
        <v>100</v>
      </c>
      <c r="C64" s="25"/>
      <c r="D64" s="25"/>
      <c r="E64" s="25"/>
      <c r="F64" s="25"/>
      <c r="G64" s="25"/>
      <c r="H64" s="25"/>
      <c r="I64" s="25"/>
      <c r="J64" s="25"/>
      <c r="K64" s="26"/>
      <c r="L64" s="26"/>
      <c r="M64" s="27" t="n">
        <f aca="false">SUM(C64:L64)</f>
        <v>0</v>
      </c>
    </row>
    <row r="65" customFormat="false" ht="16.5" hidden="false" customHeight="true" outlineLevel="0" collapsed="false">
      <c r="A65" s="33"/>
      <c r="B65" s="28" t="s">
        <v>101</v>
      </c>
      <c r="C65" s="25"/>
      <c r="D65" s="25"/>
      <c r="E65" s="25"/>
      <c r="F65" s="35"/>
      <c r="G65" s="25"/>
      <c r="H65" s="25"/>
      <c r="I65" s="25"/>
      <c r="J65" s="25"/>
      <c r="K65" s="26"/>
      <c r="L65" s="26"/>
      <c r="M65" s="27" t="n">
        <f aca="false">SUM(C65:L65)</f>
        <v>0</v>
      </c>
    </row>
    <row r="66" customFormat="false" ht="16.5" hidden="false" customHeight="true" outlineLevel="0" collapsed="false">
      <c r="A66" s="33"/>
      <c r="B66" s="28" t="s">
        <v>102</v>
      </c>
      <c r="C66" s="25"/>
      <c r="D66" s="25"/>
      <c r="E66" s="25"/>
      <c r="F66" s="35"/>
      <c r="G66" s="25"/>
      <c r="H66" s="25"/>
      <c r="I66" s="25"/>
      <c r="J66" s="25"/>
      <c r="K66" s="26"/>
      <c r="L66" s="26"/>
      <c r="M66" s="27" t="n">
        <f aca="false">SUM(C66:L66)</f>
        <v>0</v>
      </c>
    </row>
    <row r="67" customFormat="false" ht="16.5" hidden="false" customHeight="true" outlineLevel="0" collapsed="false">
      <c r="A67" s="33"/>
      <c r="B67" s="28" t="s">
        <v>103</v>
      </c>
      <c r="C67" s="25"/>
      <c r="D67" s="25"/>
      <c r="E67" s="25"/>
      <c r="F67" s="25"/>
      <c r="G67" s="25"/>
      <c r="H67" s="25"/>
      <c r="I67" s="25"/>
      <c r="J67" s="25"/>
      <c r="K67" s="26"/>
      <c r="L67" s="26"/>
      <c r="M67" s="27" t="n">
        <f aca="false">SUM(C67:L67)</f>
        <v>0</v>
      </c>
    </row>
    <row r="68" customFormat="false" ht="17.25" hidden="false" customHeight="true" outlineLevel="0" collapsed="false">
      <c r="A68" s="33"/>
      <c r="B68" s="28" t="s">
        <v>104</v>
      </c>
      <c r="C68" s="25"/>
      <c r="D68" s="25"/>
      <c r="E68" s="25"/>
      <c r="F68" s="25"/>
      <c r="G68" s="25"/>
      <c r="H68" s="25"/>
      <c r="I68" s="25"/>
      <c r="J68" s="25"/>
      <c r="K68" s="26"/>
      <c r="L68" s="26"/>
      <c r="M68" s="27" t="n">
        <f aca="false">SUM(C68:L68)</f>
        <v>0</v>
      </c>
    </row>
    <row r="69" customFormat="false" ht="16.5" hidden="false" customHeight="true" outlineLevel="0" collapsed="false">
      <c r="A69" s="33"/>
      <c r="B69" s="37" t="s">
        <v>105</v>
      </c>
      <c r="C69" s="25"/>
      <c r="D69" s="25"/>
      <c r="E69" s="25"/>
      <c r="F69" s="25"/>
      <c r="G69" s="25"/>
      <c r="H69" s="25"/>
      <c r="I69" s="25"/>
      <c r="J69" s="25"/>
      <c r="K69" s="26"/>
      <c r="L69" s="26"/>
      <c r="M69" s="27" t="n">
        <f aca="false">SUM(C69:L69)</f>
        <v>0</v>
      </c>
    </row>
    <row r="70" customFormat="false" ht="16.5" hidden="false" customHeight="true" outlineLevel="0" collapsed="false">
      <c r="A70" s="33"/>
      <c r="B70" s="28" t="s">
        <v>106</v>
      </c>
      <c r="C70" s="25"/>
      <c r="D70" s="25"/>
      <c r="E70" s="25"/>
      <c r="F70" s="25"/>
      <c r="G70" s="25"/>
      <c r="H70" s="25"/>
      <c r="I70" s="25"/>
      <c r="J70" s="25"/>
      <c r="K70" s="26"/>
      <c r="L70" s="26"/>
      <c r="M70" s="27" t="n">
        <f aca="false">SUM(C70:L70)</f>
        <v>0</v>
      </c>
    </row>
    <row r="71" customFormat="false" ht="16.5" hidden="false" customHeight="true" outlineLevel="0" collapsed="false">
      <c r="A71" s="33"/>
      <c r="B71" s="39" t="s">
        <v>107</v>
      </c>
      <c r="C71" s="21"/>
      <c r="D71" s="21"/>
      <c r="E71" s="21"/>
      <c r="F71" s="21"/>
      <c r="G71" s="21"/>
      <c r="H71" s="21"/>
      <c r="I71" s="40"/>
      <c r="J71" s="21"/>
      <c r="K71" s="22"/>
      <c r="L71" s="22"/>
      <c r="M71" s="23" t="n">
        <f aca="false">SUM(C71:L71)</f>
        <v>0</v>
      </c>
    </row>
    <row r="72" customFormat="false" ht="16.5" hidden="false" customHeight="true" outlineLevel="0" collapsed="false">
      <c r="A72" s="33"/>
      <c r="B72" s="28" t="s">
        <v>108</v>
      </c>
      <c r="C72" s="25"/>
      <c r="D72" s="25"/>
      <c r="E72" s="25"/>
      <c r="F72" s="35"/>
      <c r="G72" s="25"/>
      <c r="H72" s="25"/>
      <c r="I72" s="25"/>
      <c r="J72" s="25"/>
      <c r="K72" s="26"/>
      <c r="L72" s="26"/>
      <c r="M72" s="27" t="n">
        <f aca="false">SUM(C72:L72)</f>
        <v>0</v>
      </c>
    </row>
    <row r="73" customFormat="false" ht="16.5" hidden="false" customHeight="true" outlineLevel="0" collapsed="false">
      <c r="A73" s="33"/>
      <c r="B73" s="28" t="s">
        <v>109</v>
      </c>
      <c r="C73" s="25"/>
      <c r="D73" s="25"/>
      <c r="E73" s="25"/>
      <c r="F73" s="35"/>
      <c r="G73" s="25"/>
      <c r="H73" s="25"/>
      <c r="I73" s="25"/>
      <c r="J73" s="25"/>
      <c r="K73" s="26"/>
      <c r="L73" s="26"/>
      <c r="M73" s="27" t="n">
        <f aca="false">SUM(C73:L73)</f>
        <v>0</v>
      </c>
    </row>
    <row r="74" customFormat="false" ht="16.5" hidden="false" customHeight="true" outlineLevel="0" collapsed="false">
      <c r="A74" s="33"/>
      <c r="B74" s="28" t="s">
        <v>110</v>
      </c>
      <c r="C74" s="25"/>
      <c r="D74" s="25"/>
      <c r="E74" s="25"/>
      <c r="F74" s="25"/>
      <c r="G74" s="25"/>
      <c r="H74" s="25"/>
      <c r="I74" s="25"/>
      <c r="J74" s="25"/>
      <c r="K74" s="26"/>
      <c r="L74" s="26"/>
      <c r="M74" s="27" t="n">
        <f aca="false">SUM(C74:L74)</f>
        <v>0</v>
      </c>
    </row>
    <row r="75" customFormat="false" ht="16.5" hidden="false" customHeight="true" outlineLevel="0" collapsed="false">
      <c r="A75" s="33"/>
      <c r="B75" s="28" t="s">
        <v>111</v>
      </c>
      <c r="C75" s="25"/>
      <c r="D75" s="25"/>
      <c r="E75" s="25"/>
      <c r="F75" s="25"/>
      <c r="G75" s="25"/>
      <c r="H75" s="25"/>
      <c r="I75" s="25"/>
      <c r="J75" s="25"/>
      <c r="K75" s="26"/>
      <c r="L75" s="26"/>
      <c r="M75" s="27" t="n">
        <f aca="false">SUM(C75:L75)</f>
        <v>0</v>
      </c>
    </row>
    <row r="76" customFormat="false" ht="17.25" hidden="false" customHeight="true" outlineLevel="0" collapsed="false">
      <c r="A76" s="33"/>
      <c r="B76" s="28" t="s">
        <v>112</v>
      </c>
      <c r="C76" s="25"/>
      <c r="D76" s="25"/>
      <c r="E76" s="25"/>
      <c r="F76" s="25"/>
      <c r="G76" s="25"/>
      <c r="H76" s="25"/>
      <c r="I76" s="25"/>
      <c r="J76" s="25"/>
      <c r="K76" s="26"/>
      <c r="L76" s="26"/>
      <c r="M76" s="27" t="n">
        <f aca="false">SUM(C76:L76)</f>
        <v>0</v>
      </c>
    </row>
    <row r="77" customFormat="false" ht="16.5" hidden="false" customHeight="true" outlineLevel="0" collapsed="false">
      <c r="A77" s="33"/>
      <c r="B77" s="37" t="s">
        <v>113</v>
      </c>
      <c r="C77" s="25"/>
      <c r="D77" s="25"/>
      <c r="E77" s="25"/>
      <c r="F77" s="25"/>
      <c r="G77" s="25"/>
      <c r="H77" s="25"/>
      <c r="I77" s="25"/>
      <c r="J77" s="25"/>
      <c r="K77" s="26"/>
      <c r="L77" s="26"/>
      <c r="M77" s="27" t="n">
        <f aca="false">SUM(C77:L77)</f>
        <v>0</v>
      </c>
    </row>
    <row r="78" customFormat="false" ht="16.5" hidden="false" customHeight="true" outlineLevel="0" collapsed="false">
      <c r="A78" s="33"/>
      <c r="B78" s="37" t="s">
        <v>114</v>
      </c>
      <c r="C78" s="25"/>
      <c r="D78" s="25"/>
      <c r="E78" s="25"/>
      <c r="F78" s="25"/>
      <c r="G78" s="25"/>
      <c r="H78" s="25"/>
      <c r="I78" s="25"/>
      <c r="J78" s="25"/>
      <c r="K78" s="26"/>
      <c r="L78" s="26"/>
      <c r="M78" s="27" t="n">
        <f aca="false">SUM(C78:L78)</f>
        <v>0</v>
      </c>
    </row>
    <row r="79" customFormat="false" ht="17.25" hidden="false" customHeight="true" outlineLevel="0" collapsed="false">
      <c r="A79" s="33"/>
      <c r="B79" s="41" t="s">
        <v>115</v>
      </c>
      <c r="C79" s="31"/>
      <c r="D79" s="31"/>
      <c r="E79" s="31"/>
      <c r="F79" s="31"/>
      <c r="G79" s="31"/>
      <c r="H79" s="31"/>
      <c r="I79" s="31"/>
      <c r="J79" s="31"/>
      <c r="K79" s="32"/>
      <c r="L79" s="32"/>
      <c r="M79" s="14" t="n">
        <f aca="false">SUM(C79:L79)</f>
        <v>0</v>
      </c>
    </row>
    <row r="80" customFormat="false" ht="17.25" hidden="false" customHeight="true" outlineLevel="0" collapsed="false">
      <c r="A80" s="33" t="s">
        <v>116</v>
      </c>
      <c r="B80" s="28" t="s">
        <v>117</v>
      </c>
      <c r="C80" s="25"/>
      <c r="D80" s="25"/>
      <c r="E80" s="25"/>
      <c r="F80" s="25"/>
      <c r="G80" s="25"/>
      <c r="H80" s="25"/>
      <c r="I80" s="29" t="n">
        <v>3000</v>
      </c>
      <c r="J80" s="25"/>
      <c r="K80" s="26"/>
      <c r="L80" s="26"/>
      <c r="M80" s="27" t="n">
        <f aca="false">SUM(C80:L80)</f>
        <v>3000</v>
      </c>
    </row>
    <row r="81" customFormat="false" ht="17.25" hidden="false" customHeight="true" outlineLevel="0" collapsed="false">
      <c r="A81" s="33"/>
      <c r="B81" s="28" t="s">
        <v>118</v>
      </c>
      <c r="C81" s="25"/>
      <c r="D81" s="25"/>
      <c r="E81" s="25"/>
      <c r="F81" s="25"/>
      <c r="G81" s="25"/>
      <c r="H81" s="25"/>
      <c r="I81" s="29" t="n">
        <v>500</v>
      </c>
      <c r="J81" s="25"/>
      <c r="K81" s="26"/>
      <c r="L81" s="26"/>
      <c r="M81" s="27" t="n">
        <f aca="false">SUM(C81:L81)</f>
        <v>500</v>
      </c>
    </row>
    <row r="82" customFormat="false" ht="16.5" hidden="false" customHeight="true" outlineLevel="0" collapsed="false">
      <c r="A82" s="33"/>
      <c r="B82" s="28" t="s">
        <v>119</v>
      </c>
      <c r="C82" s="25"/>
      <c r="D82" s="25"/>
      <c r="E82" s="25"/>
      <c r="F82" s="25"/>
      <c r="G82" s="25"/>
      <c r="H82" s="25"/>
      <c r="I82" s="29" t="n">
        <v>20000</v>
      </c>
      <c r="J82" s="25"/>
      <c r="K82" s="26"/>
      <c r="L82" s="26"/>
      <c r="M82" s="27" t="n">
        <f aca="false">SUM(C82:L82)</f>
        <v>20000</v>
      </c>
    </row>
    <row r="83" customFormat="false" ht="17.25" hidden="false" customHeight="true" outlineLevel="0" collapsed="false">
      <c r="A83" s="33"/>
      <c r="B83" s="37" t="s">
        <v>120</v>
      </c>
      <c r="C83" s="25"/>
      <c r="D83" s="25"/>
      <c r="E83" s="25"/>
      <c r="F83" s="25"/>
      <c r="G83" s="25"/>
      <c r="H83" s="25"/>
      <c r="I83" s="29" t="n">
        <v>1000</v>
      </c>
      <c r="J83" s="25"/>
      <c r="K83" s="26"/>
      <c r="L83" s="26"/>
      <c r="M83" s="27" t="n">
        <f aca="false">SUM(C83:L83)</f>
        <v>1000</v>
      </c>
    </row>
    <row r="84" customFormat="false" ht="16.5" hidden="false" customHeight="true" outlineLevel="0" collapsed="false">
      <c r="A84" s="33"/>
      <c r="B84" s="28" t="s">
        <v>121</v>
      </c>
      <c r="C84" s="25"/>
      <c r="D84" s="25"/>
      <c r="E84" s="25"/>
      <c r="F84" s="25"/>
      <c r="G84" s="25"/>
      <c r="H84" s="25"/>
      <c r="I84" s="29" t="n">
        <v>5000</v>
      </c>
      <c r="J84" s="25"/>
      <c r="K84" s="26"/>
      <c r="L84" s="26"/>
      <c r="M84" s="27" t="n">
        <f aca="false">SUM(C84:L84)</f>
        <v>5000</v>
      </c>
    </row>
    <row r="85" customFormat="false" ht="17.25" hidden="false" customHeight="true" outlineLevel="0" collapsed="false">
      <c r="A85" s="33"/>
      <c r="B85" s="30" t="s">
        <v>122</v>
      </c>
      <c r="C85" s="31"/>
      <c r="D85" s="31"/>
      <c r="E85" s="31"/>
      <c r="F85" s="31"/>
      <c r="G85" s="31"/>
      <c r="H85" s="31"/>
      <c r="I85" s="10" t="n">
        <v>20</v>
      </c>
      <c r="J85" s="31"/>
      <c r="K85" s="32"/>
      <c r="L85" s="32"/>
      <c r="M85" s="14" t="n">
        <f aca="false">MIN(SUM(C85:L85),80)</f>
        <v>20</v>
      </c>
    </row>
    <row r="86" customFormat="false" ht="16.5" hidden="false" customHeight="true" outlineLevel="0" collapsed="false">
      <c r="A86" s="33" t="s">
        <v>123</v>
      </c>
      <c r="B86" s="28" t="s">
        <v>124</v>
      </c>
      <c r="C86" s="25"/>
      <c r="D86" s="25"/>
      <c r="E86" s="25"/>
      <c r="F86" s="29" t="n">
        <v>20</v>
      </c>
      <c r="G86" s="25"/>
      <c r="H86" s="25"/>
      <c r="I86" s="25"/>
      <c r="J86" s="25"/>
      <c r="K86" s="26"/>
      <c r="L86" s="26"/>
      <c r="M86" s="27" t="n">
        <f aca="false">SUM(C86:L86)</f>
        <v>20</v>
      </c>
    </row>
    <row r="87" customFormat="false" ht="16.5" hidden="false" customHeight="true" outlineLevel="0" collapsed="false">
      <c r="A87" s="33"/>
      <c r="B87" s="28" t="s">
        <v>125</v>
      </c>
      <c r="C87" s="25"/>
      <c r="D87" s="25"/>
      <c r="E87" s="25"/>
      <c r="F87" s="25"/>
      <c r="G87" s="25"/>
      <c r="H87" s="25"/>
      <c r="I87" s="29" t="n">
        <v>20</v>
      </c>
      <c r="J87" s="25"/>
      <c r="K87" s="26"/>
      <c r="L87" s="26"/>
      <c r="M87" s="27" t="n">
        <f aca="false">SUM(C87:L87)</f>
        <v>20</v>
      </c>
    </row>
    <row r="88" customFormat="false" ht="17.25" hidden="false" customHeight="true" outlineLevel="0" collapsed="false">
      <c r="A88" s="33"/>
      <c r="B88" s="41" t="s">
        <v>126</v>
      </c>
      <c r="C88" s="31"/>
      <c r="D88" s="31"/>
      <c r="E88" s="31"/>
      <c r="F88" s="31"/>
      <c r="G88" s="31"/>
      <c r="H88" s="31"/>
      <c r="I88" s="31"/>
      <c r="J88" s="31"/>
      <c r="K88" s="32"/>
      <c r="L88" s="32"/>
      <c r="M88" s="14" t="n">
        <f aca="false">SUM(C88:L88)</f>
        <v>0</v>
      </c>
    </row>
    <row r="89" customFormat="false" ht="17.25" hidden="false" customHeight="true" outlineLevel="0" collapsed="false">
      <c r="A89" s="33" t="s">
        <v>127</v>
      </c>
      <c r="B89" s="30" t="s">
        <v>128</v>
      </c>
      <c r="C89" s="31"/>
      <c r="D89" s="31"/>
      <c r="E89" s="31"/>
      <c r="F89" s="31"/>
      <c r="G89" s="31"/>
      <c r="H89" s="31"/>
      <c r="I89" s="10" t="n">
        <v>3</v>
      </c>
      <c r="J89" s="31"/>
      <c r="K89" s="32"/>
      <c r="L89" s="32"/>
      <c r="M89" s="14" t="n">
        <f aca="false">SUM(C89:L89)</f>
        <v>3</v>
      </c>
    </row>
    <row r="90" customFormat="false" ht="17.25" hidden="false" customHeight="false" outlineLevel="0" collapsed="false">
      <c r="A90" s="33" t="s">
        <v>129</v>
      </c>
      <c r="B90" s="30" t="s">
        <v>129</v>
      </c>
      <c r="C90" s="31"/>
      <c r="D90" s="31"/>
      <c r="E90" s="31"/>
      <c r="F90" s="31"/>
      <c r="G90" s="31"/>
      <c r="H90" s="31"/>
      <c r="I90" s="31"/>
      <c r="J90" s="31"/>
      <c r="K90" s="32"/>
      <c r="L90" s="32"/>
      <c r="M90" s="14" t="n">
        <f aca="false">SUM(C90:L90)</f>
        <v>0</v>
      </c>
    </row>
    <row r="91" customFormat="false" ht="17.25" hidden="false" customHeight="false" outlineLevel="0" collapsed="false">
      <c r="A91" s="33" t="s">
        <v>130</v>
      </c>
      <c r="B91" s="28" t="s">
        <v>131</v>
      </c>
      <c r="C91" s="25"/>
      <c r="D91" s="25"/>
      <c r="E91" s="25"/>
      <c r="F91" s="25"/>
      <c r="G91" s="25"/>
      <c r="H91" s="25"/>
      <c r="I91" s="25"/>
      <c r="J91" s="25"/>
      <c r="K91" s="26"/>
      <c r="L91" s="26"/>
      <c r="M91" s="27" t="n">
        <f aca="false">SUM(C91:L91)</f>
        <v>0</v>
      </c>
    </row>
    <row r="92" customFormat="false" ht="17.25" hidden="false" customHeight="false" outlineLevel="0" collapsed="false">
      <c r="A92" s="33"/>
      <c r="B92" s="30" t="s">
        <v>132</v>
      </c>
      <c r="C92" s="31"/>
      <c r="D92" s="31"/>
      <c r="E92" s="31"/>
      <c r="F92" s="31"/>
      <c r="G92" s="31"/>
      <c r="H92" s="31"/>
      <c r="I92" s="31"/>
      <c r="J92" s="31"/>
      <c r="K92" s="32"/>
      <c r="L92" s="32"/>
      <c r="M92" s="14" t="n">
        <f aca="false">SUM(C92:L92)</f>
        <v>0</v>
      </c>
    </row>
    <row r="93" customFormat="false" ht="17.25" hidden="false" customHeight="false" outlineLevel="0" collapsed="false">
      <c r="A93" s="33" t="s">
        <v>133</v>
      </c>
      <c r="B93" s="28" t="s">
        <v>134</v>
      </c>
      <c r="C93" s="25"/>
      <c r="D93" s="25"/>
      <c r="E93" s="25"/>
      <c r="F93" s="25"/>
      <c r="G93" s="25"/>
      <c r="H93" s="25"/>
      <c r="I93" s="25"/>
      <c r="J93" s="25"/>
      <c r="K93" s="26"/>
      <c r="L93" s="26"/>
      <c r="M93" s="27" t="n">
        <f aca="false">SUM(C93:L93)</f>
        <v>0</v>
      </c>
    </row>
    <row r="94" customFormat="false" ht="17.25" hidden="false" customHeight="false" outlineLevel="0" collapsed="false">
      <c r="A94" s="33"/>
      <c r="B94" s="30" t="s">
        <v>135</v>
      </c>
      <c r="C94" s="31"/>
      <c r="D94" s="31"/>
      <c r="E94" s="31"/>
      <c r="F94" s="31"/>
      <c r="G94" s="31"/>
      <c r="H94" s="31"/>
      <c r="I94" s="31"/>
      <c r="J94" s="31"/>
      <c r="K94" s="32"/>
      <c r="L94" s="32"/>
      <c r="M94" s="14" t="n">
        <f aca="false">SUM(C94:L94)</f>
        <v>0</v>
      </c>
    </row>
    <row r="95" customFormat="false" ht="17.25" hidden="false" customHeight="false" outlineLevel="0" collapsed="false">
      <c r="A95" s="33" t="s">
        <v>136</v>
      </c>
      <c r="B95" s="28" t="s">
        <v>137</v>
      </c>
      <c r="C95" s="35"/>
      <c r="D95" s="35"/>
      <c r="E95" s="35"/>
      <c r="F95" s="35"/>
      <c r="G95" s="35"/>
      <c r="H95" s="35"/>
      <c r="I95" s="35"/>
      <c r="J95" s="25"/>
      <c r="K95" s="26"/>
      <c r="L95" s="26"/>
      <c r="M95" s="27" t="n">
        <f aca="false">MIN(SUM(C95:L95),5000)</f>
        <v>0</v>
      </c>
    </row>
    <row r="96" customFormat="false" ht="17.25" hidden="false" customHeight="false" outlineLevel="0" collapsed="false">
      <c r="A96" s="33"/>
      <c r="B96" s="28" t="s">
        <v>138</v>
      </c>
      <c r="C96" s="35"/>
      <c r="D96" s="35"/>
      <c r="E96" s="35"/>
      <c r="F96" s="35"/>
      <c r="G96" s="35"/>
      <c r="H96" s="35"/>
      <c r="I96" s="35"/>
      <c r="J96" s="25"/>
      <c r="K96" s="26"/>
      <c r="L96" s="26"/>
      <c r="M96" s="27" t="n">
        <f aca="false">SUM(C96:L96)</f>
        <v>0</v>
      </c>
    </row>
    <row r="97" customFormat="false" ht="17.25" hidden="false" customHeight="false" outlineLevel="0" collapsed="false">
      <c r="A97" s="33"/>
      <c r="B97" s="28" t="s">
        <v>139</v>
      </c>
      <c r="C97" s="25"/>
      <c r="D97" s="25"/>
      <c r="E97" s="25"/>
      <c r="F97" s="25"/>
      <c r="G97" s="25"/>
      <c r="H97" s="25"/>
      <c r="I97" s="35"/>
      <c r="J97" s="25"/>
      <c r="K97" s="26"/>
      <c r="L97" s="26"/>
      <c r="M97" s="27" t="n">
        <f aca="false">SUM(C97:L97)</f>
        <v>0</v>
      </c>
    </row>
    <row r="98" customFormat="false" ht="17.25" hidden="false" customHeight="false" outlineLevel="0" collapsed="false">
      <c r="A98" s="33"/>
      <c r="B98" s="30" t="s">
        <v>140</v>
      </c>
      <c r="C98" s="31"/>
      <c r="D98" s="31"/>
      <c r="E98" s="31"/>
      <c r="F98" s="31"/>
      <c r="G98" s="31"/>
      <c r="H98" s="31"/>
      <c r="I98" s="42"/>
      <c r="J98" s="31"/>
      <c r="K98" s="32"/>
      <c r="L98" s="32"/>
      <c r="M98" s="14" t="n">
        <f aca="false">SUM(C98:L98)</f>
        <v>0</v>
      </c>
    </row>
    <row r="99" customFormat="false" ht="17.25" hidden="false" customHeight="false" outlineLevel="0" collapsed="false">
      <c r="A99" s="33" t="s">
        <v>141</v>
      </c>
      <c r="B99" s="30" t="s">
        <v>142</v>
      </c>
      <c r="C99" s="42"/>
      <c r="D99" s="42"/>
      <c r="E99" s="42"/>
      <c r="F99" s="42"/>
      <c r="G99" s="42"/>
      <c r="H99" s="42"/>
      <c r="I99" s="11" t="n">
        <v>10000</v>
      </c>
      <c r="J99" s="31"/>
      <c r="K99" s="32"/>
      <c r="L99" s="32"/>
      <c r="M99" s="14" t="n">
        <f aca="false">SUM(C99:L99)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50"/>
    <mergeCell ref="A51:A62"/>
    <mergeCell ref="A63:A79"/>
    <mergeCell ref="A80:A85"/>
    <mergeCell ref="A86:A88"/>
    <mergeCell ref="A91:A92"/>
    <mergeCell ref="A93:A94"/>
    <mergeCell ref="A95:A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43" t="s">
        <v>143</v>
      </c>
    </row>
    <row r="3" customFormat="false" ht="16.5" hidden="false" customHeight="true" outlineLevel="0" collapsed="false">
      <c r="A3" s="44" t="s">
        <v>144</v>
      </c>
      <c r="B3" s="45" t="s">
        <v>145</v>
      </c>
    </row>
    <row r="4" customFormat="false" ht="16.5" hidden="false" customHeight="true" outlineLevel="0" collapsed="false">
      <c r="A4" s="44" t="s">
        <v>146</v>
      </c>
      <c r="B4" s="45" t="s">
        <v>147</v>
      </c>
    </row>
    <row r="5" customFormat="false" ht="16.5" hidden="false" customHeight="true" outlineLevel="0" collapsed="false">
      <c r="A5" s="44" t="s">
        <v>148</v>
      </c>
      <c r="B5" s="45" t="s">
        <v>149</v>
      </c>
    </row>
    <row r="6" customFormat="false" ht="16.5" hidden="false" customHeight="true" outlineLevel="0" collapsed="false">
      <c r="A6" s="44" t="s">
        <v>150</v>
      </c>
      <c r="B6" s="45" t="s">
        <v>151</v>
      </c>
    </row>
    <row r="7" customFormat="false" ht="16.5" hidden="false" customHeight="true" outlineLevel="0" collapsed="false">
      <c r="A7" s="44" t="s">
        <v>152</v>
      </c>
      <c r="B7" s="45" t="s">
        <v>153</v>
      </c>
    </row>
    <row r="8" customFormat="false" ht="16.5" hidden="false" customHeight="true" outlineLevel="0" collapsed="false">
      <c r="A8" s="44" t="s">
        <v>154</v>
      </c>
      <c r="B8" s="46" t="s">
        <v>155</v>
      </c>
    </row>
    <row r="9" customFormat="false" ht="16.5" hidden="false" customHeight="true" outlineLevel="0" collapsed="false">
      <c r="A9" s="44" t="s">
        <v>156</v>
      </c>
      <c r="B9" s="45" t="s">
        <v>157</v>
      </c>
    </row>
    <row r="10" customFormat="false" ht="16.5" hidden="false" customHeight="true" outlineLevel="0" collapsed="false">
      <c r="A10" s="44" t="s">
        <v>158</v>
      </c>
      <c r="B10" s="45" t="s">
        <v>159</v>
      </c>
    </row>
    <row r="11" customFormat="false" ht="16.5" hidden="false" customHeight="true" outlineLevel="0" collapsed="false">
      <c r="A11" s="44" t="s">
        <v>160</v>
      </c>
      <c r="B11" s="45" t="s">
        <v>161</v>
      </c>
    </row>
    <row r="12" customFormat="false" ht="16.5" hidden="false" customHeight="true" outlineLevel="0" collapsed="false">
      <c r="A12" s="44" t="s">
        <v>162</v>
      </c>
      <c r="B12" s="46" t="s">
        <v>163</v>
      </c>
    </row>
    <row r="13" customFormat="false" ht="16.5" hidden="false" customHeight="true" outlineLevel="0" collapsed="false">
      <c r="A13" s="44" t="s">
        <v>164</v>
      </c>
      <c r="B13" s="45" t="s">
        <v>165</v>
      </c>
    </row>
    <row r="14" customFormat="false" ht="16.5" hidden="false" customHeight="true" outlineLevel="0" collapsed="false">
      <c r="A14" s="44" t="s">
        <v>166</v>
      </c>
      <c r="B14" s="4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7" t="s">
        <v>168</v>
      </c>
    </row>
    <row r="3" customFormat="false" ht="15" hidden="false" customHeight="false" outlineLevel="0" collapsed="false">
      <c r="A3" s="47" t="s">
        <v>169</v>
      </c>
      <c r="B3" s="1" t="n">
        <v>10</v>
      </c>
    </row>
    <row r="4" customFormat="false" ht="17.15" hidden="false" customHeight="false" outlineLevel="0" collapsed="false">
      <c r="A4" s="47" t="s">
        <v>170</v>
      </c>
      <c r="B4" s="1" t="s">
        <v>171</v>
      </c>
    </row>
    <row r="6" customFormat="false" ht="17.15" hidden="false" customHeight="false" outlineLevel="0" collapsed="false">
      <c r="A6" s="0" t="s">
        <v>172</v>
      </c>
    </row>
    <row r="7" customFormat="false" ht="17.15" hidden="false" customHeight="false" outlineLevel="0" collapsed="false">
      <c r="A7" s="47" t="s">
        <v>173</v>
      </c>
      <c r="B7" s="48" t="s">
        <v>174</v>
      </c>
      <c r="C7" s="47" t="s">
        <v>175</v>
      </c>
      <c r="D7" s="48" t="s">
        <v>176</v>
      </c>
      <c r="E7" s="48" t="s">
        <v>177</v>
      </c>
    </row>
    <row r="8" customFormat="false" ht="15" hidden="false" customHeight="false" outlineLevel="0" collapsed="false">
      <c r="A8" s="47" t="s">
        <v>178</v>
      </c>
      <c r="B8" s="48" t="s">
        <v>179</v>
      </c>
      <c r="C8" s="0" t="n">
        <v>40</v>
      </c>
      <c r="E8" s="1" t="s">
        <v>180</v>
      </c>
    </row>
    <row r="9" customFormat="false" ht="15" hidden="false" customHeight="false" outlineLevel="0" collapsed="false">
      <c r="A9" s="47" t="s">
        <v>178</v>
      </c>
      <c r="B9" s="48" t="s">
        <v>181</v>
      </c>
      <c r="C9" s="0" t="n">
        <v>600</v>
      </c>
      <c r="E9" s="1" t="s">
        <v>182</v>
      </c>
    </row>
    <row r="10" customFormat="false" ht="15" hidden="false" customHeight="false" outlineLevel="0" collapsed="false">
      <c r="A10" s="47" t="s">
        <v>178</v>
      </c>
      <c r="B10" s="48" t="s">
        <v>183</v>
      </c>
      <c r="C10" s="0" t="n">
        <v>300</v>
      </c>
      <c r="E10" s="1" t="s">
        <v>184</v>
      </c>
    </row>
    <row r="11" customFormat="false" ht="15" hidden="false" customHeight="false" outlineLevel="0" collapsed="false">
      <c r="A11" s="47" t="s">
        <v>178</v>
      </c>
      <c r="B11" s="48" t="s">
        <v>185</v>
      </c>
      <c r="C11" s="0" t="n">
        <v>40</v>
      </c>
      <c r="E11" s="1" t="s">
        <v>186</v>
      </c>
    </row>
    <row r="12" customFormat="false" ht="15" hidden="false" customHeight="false" outlineLevel="0" collapsed="false">
      <c r="A12" s="47" t="s">
        <v>178</v>
      </c>
      <c r="B12" s="48" t="s">
        <v>187</v>
      </c>
      <c r="C12" s="0" t="n">
        <v>600</v>
      </c>
      <c r="E12" s="1" t="s">
        <v>188</v>
      </c>
    </row>
    <row r="13" customFormat="false" ht="15" hidden="false" customHeight="false" outlineLevel="0" collapsed="false">
      <c r="A13" s="47" t="s">
        <v>178</v>
      </c>
      <c r="B13" s="48" t="s">
        <v>189</v>
      </c>
      <c r="C13" s="0" t="n">
        <v>7960</v>
      </c>
      <c r="E13" s="1" t="s">
        <v>190</v>
      </c>
    </row>
    <row r="14" customFormat="false" ht="15" hidden="false" customHeight="false" outlineLevel="0" collapsed="false">
      <c r="A14" s="47" t="s">
        <v>178</v>
      </c>
      <c r="B14" s="48" t="s">
        <v>191</v>
      </c>
      <c r="C14" s="0" t="n">
        <v>400</v>
      </c>
      <c r="E14" s="1" t="s">
        <v>192</v>
      </c>
    </row>
    <row r="15" customFormat="false" ht="17.15" hidden="false" customHeight="false" outlineLevel="0" collapsed="false">
      <c r="A15" s="0" t="s">
        <v>193</v>
      </c>
      <c r="B15" s="48" t="s">
        <v>194</v>
      </c>
      <c r="C15" s="0" t="n">
        <v>100</v>
      </c>
      <c r="E15" s="1" t="s">
        <v>195</v>
      </c>
    </row>
    <row r="16" customFormat="false" ht="17.15" hidden="false" customHeight="false" outlineLevel="0" collapsed="false">
      <c r="A16" s="0" t="s">
        <v>193</v>
      </c>
      <c r="B16" s="48" t="s">
        <v>196</v>
      </c>
      <c r="C16" s="0" t="n">
        <v>100</v>
      </c>
      <c r="E16" s="1" t="s">
        <v>197</v>
      </c>
    </row>
    <row r="17" customFormat="false" ht="17.15" hidden="false" customHeight="false" outlineLevel="0" collapsed="false">
      <c r="A17" s="0" t="s">
        <v>193</v>
      </c>
      <c r="B17" s="48" t="s">
        <v>198</v>
      </c>
      <c r="C17" s="0" t="n">
        <v>600</v>
      </c>
      <c r="E17" s="1" t="s">
        <v>199</v>
      </c>
    </row>
    <row r="18" customFormat="false" ht="17.15" hidden="false" customHeight="false" outlineLevel="0" collapsed="false">
      <c r="A18" s="0" t="s">
        <v>200</v>
      </c>
      <c r="B18" s="1" t="s">
        <v>201</v>
      </c>
      <c r="C18" s="0" t="n">
        <v>5000</v>
      </c>
      <c r="E18" s="1" t="s">
        <v>202</v>
      </c>
    </row>
    <row r="19" customFormat="false" ht="17.15" hidden="false" customHeight="false" outlineLevel="0" collapsed="false">
      <c r="A19" s="47" t="s">
        <v>203</v>
      </c>
      <c r="B19" s="48" t="s">
        <v>204</v>
      </c>
      <c r="C19" s="0" t="n">
        <v>17500</v>
      </c>
      <c r="E19" s="1" t="s">
        <v>205</v>
      </c>
    </row>
    <row r="20" customFormat="false" ht="17.15" hidden="false" customHeight="false" outlineLevel="0" collapsed="false">
      <c r="A20" s="47" t="s">
        <v>203</v>
      </c>
      <c r="B20" s="48" t="s">
        <v>206</v>
      </c>
      <c r="C20" s="0" t="n">
        <v>500</v>
      </c>
      <c r="E20" s="1" t="s">
        <v>207</v>
      </c>
    </row>
    <row r="21" customFormat="false" ht="15" hidden="false" customHeight="false" outlineLevel="0" collapsed="false">
      <c r="A21" s="47" t="s">
        <v>203</v>
      </c>
      <c r="B21" s="48" t="s">
        <v>208</v>
      </c>
      <c r="C21" s="0" t="n">
        <v>17500</v>
      </c>
      <c r="E21" s="1" t="s">
        <v>209</v>
      </c>
    </row>
    <row r="22" customFormat="false" ht="15" hidden="false" customHeight="false" outlineLevel="0" collapsed="false">
      <c r="A22" s="47" t="s">
        <v>210</v>
      </c>
      <c r="B22" s="48" t="s">
        <v>211</v>
      </c>
      <c r="C22" s="0" t="n">
        <v>2000</v>
      </c>
      <c r="E22" s="1" t="s">
        <v>212</v>
      </c>
    </row>
    <row r="26" customFormat="false" ht="17.15" hidden="false" customHeight="false" outlineLevel="0" collapsed="false">
      <c r="A26" s="0" t="s">
        <v>213</v>
      </c>
    </row>
    <row r="27" customFormat="false" ht="17.15" hidden="false" customHeight="false" outlineLevel="0" collapsed="false">
      <c r="A27" s="47" t="s">
        <v>173</v>
      </c>
      <c r="B27" s="48" t="s">
        <v>214</v>
      </c>
      <c r="C27" s="47" t="s">
        <v>215</v>
      </c>
      <c r="D27" s="48" t="s">
        <v>175</v>
      </c>
    </row>
    <row r="28" customFormat="false" ht="15" hidden="false" customHeight="false" outlineLevel="0" collapsed="false">
      <c r="A28" s="47" t="s">
        <v>178</v>
      </c>
      <c r="B28" s="48" t="s">
        <v>216</v>
      </c>
      <c r="C28" s="47" t="s">
        <v>83</v>
      </c>
      <c r="D28" s="1" t="n">
        <v>6000</v>
      </c>
    </row>
    <row r="29" customFormat="false" ht="15" hidden="false" customHeight="false" outlineLevel="0" collapsed="false">
      <c r="A29" s="47" t="s">
        <v>178</v>
      </c>
      <c r="B29" s="48" t="s">
        <v>216</v>
      </c>
      <c r="C29" s="47" t="s">
        <v>83</v>
      </c>
      <c r="D29" s="1" t="n">
        <v>3000</v>
      </c>
    </row>
    <row r="30" customFormat="false" ht="15" hidden="false" customHeight="false" outlineLevel="0" collapsed="false">
      <c r="A30" s="47" t="s">
        <v>178</v>
      </c>
      <c r="B30" s="48" t="s">
        <v>217</v>
      </c>
      <c r="C30" s="47" t="s">
        <v>82</v>
      </c>
      <c r="D30" s="1" t="n">
        <v>900</v>
      </c>
    </row>
    <row r="31" customFormat="false" ht="17.15" hidden="false" customHeight="false" outlineLevel="0" collapsed="false">
      <c r="A31" s="0" t="s">
        <v>200</v>
      </c>
      <c r="B31" s="1" t="s">
        <v>218</v>
      </c>
      <c r="C31" s="47" t="s">
        <v>83</v>
      </c>
      <c r="D31" s="1" t="n">
        <v>2000</v>
      </c>
    </row>
    <row r="33" customFormat="false" ht="17.15" hidden="false" customHeight="false" outlineLevel="0" collapsed="false">
      <c r="A33" s="0" t="s">
        <v>219</v>
      </c>
    </row>
    <row r="34" customFormat="false" ht="17.15" hidden="false" customHeight="false" outlineLevel="0" collapsed="false">
      <c r="A34" s="47" t="s">
        <v>173</v>
      </c>
      <c r="B34" s="48" t="s">
        <v>214</v>
      </c>
      <c r="C34" s="47" t="s">
        <v>220</v>
      </c>
      <c r="D34" s="48" t="s">
        <v>175</v>
      </c>
    </row>
    <row r="35" customFormat="false" ht="15" hidden="false" customHeight="false" outlineLevel="0" collapsed="false">
      <c r="A35" s="47" t="s">
        <v>178</v>
      </c>
      <c r="B35" s="48" t="s">
        <v>60</v>
      </c>
      <c r="C35" s="47" t="s">
        <v>60</v>
      </c>
      <c r="D35" s="1" t="n">
        <v>400</v>
      </c>
    </row>
    <row r="36" customFormat="false" ht="15" hidden="false" customHeight="false" outlineLevel="0" collapsed="false">
      <c r="A36" s="47" t="s">
        <v>178</v>
      </c>
      <c r="B36" s="48" t="s">
        <v>60</v>
      </c>
      <c r="C36" s="47" t="s">
        <v>60</v>
      </c>
      <c r="D36" s="1" t="n">
        <v>600</v>
      </c>
    </row>
    <row r="37" customFormat="false" ht="17.15" hidden="false" customHeight="false" outlineLevel="0" collapsed="false">
      <c r="A37" s="0" t="s">
        <v>193</v>
      </c>
      <c r="B37" s="48" t="s">
        <v>99</v>
      </c>
      <c r="C37" s="47" t="s">
        <v>99</v>
      </c>
      <c r="D37" s="1" t="n">
        <v>50</v>
      </c>
    </row>
    <row r="39" customFormat="false" ht="17.15" hidden="false" customHeight="false" outlineLevel="0" collapsed="false">
      <c r="A39" s="0" t="s">
        <v>221</v>
      </c>
    </row>
    <row r="40" customFormat="false" ht="17.15" hidden="false" customHeight="false" outlineLevel="0" collapsed="false">
      <c r="A40" s="47" t="s">
        <v>173</v>
      </c>
      <c r="B40" s="48" t="s">
        <v>214</v>
      </c>
      <c r="C40" s="47" t="s">
        <v>215</v>
      </c>
      <c r="D40" s="48" t="s">
        <v>175</v>
      </c>
    </row>
    <row r="41" customFormat="false" ht="15" hidden="false" customHeight="false" outlineLevel="0" collapsed="false">
      <c r="A41" s="47" t="s">
        <v>178</v>
      </c>
      <c r="B41" s="48" t="s">
        <v>222</v>
      </c>
      <c r="C41" s="47" t="s">
        <v>49</v>
      </c>
      <c r="D41" s="1" t="n">
        <v>2000</v>
      </c>
    </row>
    <row r="42" customFormat="false" ht="15" hidden="false" customHeight="false" outlineLevel="0" collapsed="false">
      <c r="A42" s="47" t="s">
        <v>178</v>
      </c>
      <c r="B42" s="48" t="s">
        <v>60</v>
      </c>
      <c r="C42" s="47" t="s">
        <v>60</v>
      </c>
      <c r="D42" s="1" t="n">
        <v>400</v>
      </c>
    </row>
    <row r="43" customFormat="false" ht="15" hidden="false" customHeight="false" outlineLevel="0" collapsed="false">
      <c r="A43" s="47" t="s">
        <v>178</v>
      </c>
      <c r="B43" s="48" t="s">
        <v>223</v>
      </c>
      <c r="C43" s="47" t="s">
        <v>61</v>
      </c>
      <c r="D43" s="1" t="n">
        <v>20</v>
      </c>
    </row>
    <row r="44" customFormat="false" ht="15" hidden="false" customHeight="false" outlineLevel="0" collapsed="false">
      <c r="A44" s="47" t="s">
        <v>178</v>
      </c>
      <c r="B44" s="48" t="s">
        <v>222</v>
      </c>
      <c r="C44" s="47" t="s">
        <v>49</v>
      </c>
      <c r="D44" s="1" t="n">
        <v>4000</v>
      </c>
    </row>
    <row r="45" customFormat="false" ht="17.15" hidden="false" customHeight="false" outlineLevel="0" collapsed="false">
      <c r="A45" s="47" t="s">
        <v>178</v>
      </c>
      <c r="B45" s="48" t="s">
        <v>224</v>
      </c>
      <c r="C45" s="47" t="s">
        <v>225</v>
      </c>
      <c r="D45" s="1" t="n">
        <v>2000</v>
      </c>
    </row>
    <row r="46" customFormat="false" ht="15" hidden="false" customHeight="false" outlineLevel="0" collapsed="false">
      <c r="A46" s="47" t="s">
        <v>178</v>
      </c>
      <c r="B46" s="48" t="s">
        <v>60</v>
      </c>
      <c r="C46" s="47" t="s">
        <v>60</v>
      </c>
      <c r="D46" s="1" t="n">
        <v>600</v>
      </c>
    </row>
    <row r="47" customFormat="false" ht="15" hidden="false" customHeight="false" outlineLevel="0" collapsed="false">
      <c r="A47" s="47" t="s">
        <v>178</v>
      </c>
      <c r="B47" s="48" t="s">
        <v>222</v>
      </c>
      <c r="C47" s="47" t="s">
        <v>49</v>
      </c>
      <c r="D47" s="1" t="n">
        <v>5000</v>
      </c>
    </row>
    <row r="48" customFormat="false" ht="17.15" hidden="false" customHeight="false" outlineLevel="0" collapsed="false">
      <c r="A48" s="47" t="s">
        <v>178</v>
      </c>
      <c r="B48" s="48" t="s">
        <v>224</v>
      </c>
      <c r="C48" s="47" t="s">
        <v>225</v>
      </c>
      <c r="D48" s="1" t="n">
        <v>1000</v>
      </c>
    </row>
    <row r="49" customFormat="false" ht="17.15" hidden="false" customHeight="false" outlineLevel="0" collapsed="false">
      <c r="A49" s="0" t="s">
        <v>200</v>
      </c>
      <c r="B49" s="1" t="s">
        <v>226</v>
      </c>
      <c r="C49" s="47" t="s">
        <v>49</v>
      </c>
      <c r="D49" s="1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227</v>
      </c>
      <c r="B1" s="0" t="s">
        <v>228</v>
      </c>
      <c r="C1" s="0" t="s">
        <v>229</v>
      </c>
    </row>
    <row r="2" customFormat="false" ht="15" hidden="false" customHeight="false" outlineLevel="0" collapsed="false">
      <c r="A2" s="47" t="s">
        <v>65</v>
      </c>
      <c r="B2" s="47" t="s">
        <v>230</v>
      </c>
      <c r="C2" s="0" t="n">
        <v>3000</v>
      </c>
    </row>
    <row r="3" customFormat="false" ht="15" hidden="false" customHeight="false" outlineLevel="0" collapsed="false">
      <c r="A3" s="47" t="s">
        <v>83</v>
      </c>
      <c r="B3" s="47" t="s">
        <v>216</v>
      </c>
      <c r="C3" s="0" t="n">
        <v>6000</v>
      </c>
    </row>
    <row r="4" customFormat="false" ht="15" hidden="false" customHeight="false" outlineLevel="0" collapsed="false">
      <c r="A4" s="47" t="s">
        <v>49</v>
      </c>
      <c r="B4" s="47" t="s">
        <v>222</v>
      </c>
      <c r="C4" s="0" t="n">
        <v>5000</v>
      </c>
    </row>
    <row r="5" customFormat="false" ht="15" hidden="false" customHeight="false" outlineLevel="0" collapsed="false">
      <c r="A5" s="47" t="s">
        <v>64</v>
      </c>
      <c r="B5" s="47" t="s">
        <v>231</v>
      </c>
      <c r="C5" s="0" t="n">
        <v>900</v>
      </c>
    </row>
    <row r="6" customFormat="false" ht="15" hidden="false" customHeight="false" outlineLevel="0" collapsed="false">
      <c r="A6" s="47" t="s">
        <v>82</v>
      </c>
      <c r="B6" s="47" t="s">
        <v>217</v>
      </c>
      <c r="C6" s="0" t="n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2026-07-13T08:25:06Z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