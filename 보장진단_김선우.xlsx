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70C0"/>
      <sz val="9"/>
    </font>
    <font>
      <name val="맑은 고딕"/>
      <color rgb="00000000"/>
      <sz val="9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0070C0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197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4" applyAlignment="1" pivotButton="0" quotePrefix="0" xfId="0">
      <alignment horizontal="center" vertical="center" wrapText="1"/>
    </xf>
    <xf numFmtId="0" fontId="13" fillId="10" borderId="54" applyAlignment="1" pivotButton="0" quotePrefix="0" xfId="0">
      <alignment horizontal="center" vertical="center" wrapText="1"/>
    </xf>
    <xf numFmtId="0" fontId="13" fillId="11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3" fontId="14" fillId="0" borderId="57" applyAlignment="1" pivotButton="0" quotePrefix="0" xfId="0">
      <alignment horizontal="center" vertical="center"/>
    </xf>
    <xf numFmtId="164" fontId="15" fillId="0" borderId="57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3" fontId="15" fillId="0" borderId="58" pivotButton="0" quotePrefix="0" xfId="0"/>
    <xf numFmtId="0" fontId="6" fillId="2" borderId="56" applyAlignment="1" pivotButton="0" quotePrefix="0" xfId="0">
      <alignment horizontal="center" vertical="center"/>
    </xf>
    <xf numFmtId="164" fontId="14" fillId="0" borderId="57" applyAlignment="1" pivotButton="0" quotePrefix="0" xfId="0">
      <alignment horizontal="center" vertical="center"/>
    </xf>
    <xf numFmtId="0" fontId="0" fillId="0" borderId="58" pivotButton="0" quotePrefix="0" xfId="0"/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3" fontId="14" fillId="0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3" fontId="15" fillId="0" borderId="61" pivotButton="0" quotePrefix="0" xfId="0"/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3" fontId="15" fillId="0" borderId="64" pivotButton="0" quotePrefix="0" xfId="0"/>
    <xf numFmtId="0" fontId="4" fillId="2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3" fontId="15" fillId="0" borderId="63" applyAlignment="1" pivotButton="0" quotePrefix="0" xfId="0">
      <alignment horizontal="center" vertical="center"/>
    </xf>
    <xf numFmtId="164" fontId="9" fillId="0" borderId="63" applyAlignment="1" pivotButton="0" quotePrefix="0" xfId="0">
      <alignment horizontal="center" vertical="center"/>
    </xf>
    <xf numFmtId="0" fontId="0" fillId="0" borderId="63" pivotButton="0" quotePrefix="0" xfId="0"/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164" fontId="14" fillId="0" borderId="63" applyAlignment="1" pivotButton="0" quotePrefix="0" xfId="0">
      <alignment horizontal="center" vertical="center"/>
    </xf>
    <xf numFmtId="0" fontId="15" fillId="0" borderId="64" pivotButton="0" quotePrefix="0" xfId="0"/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164" fontId="9" fillId="0" borderId="60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164" fontId="9" fillId="0" borderId="57" applyAlignment="1" pivotButton="0" quotePrefix="0" xfId="0">
      <alignment horizontal="center" vertical="center"/>
    </xf>
    <xf numFmtId="0" fontId="15" fillId="0" borderId="58" pivotButton="0" quotePrefix="0" xfId="0"/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NH%EB%86%8D%ED%98%91%EC%83%9D%EB%AA%85%20%EC%B9%98%EB%A3%8C%EB%B9%84%EC%95%88%EC%8B%AC%ED%95%B42NH%EA%B1%B4%EA%B0%95%EB%B3%B4%ED%97%98%20%EA%B0%B1%EC%8B%A0%ED%98%95%2C%20%EA%B3%A0%EC%95%A1%ED%95%AD%EC%95%94%EC%B9%98%EB%A3%8C%EB%B9%84%20%EC%95%BD%EA%B4%80%20%EB%B3%B4%EC%9E%A5%EB%82%B4%EC%9A%A9" TargetMode="External" Id="rId1"/><Relationship Type="http://schemas.openxmlformats.org/officeDocument/2006/relationships/hyperlink" Target="https://search.naver.com/search.naver?query=NH%EB%86%8D%ED%98%91%EC%83%9D%EB%AA%85%20%EC%B9%98%EB%A3%8C%EB%B9%84%EC%95%88%EC%8B%AC%ED%95%B42NH%EA%B1%B4%EA%B0%95%EB%B3%B4%ED%97%98%20%EA%B0%B1%EC%8B%A0%ED%98%95%2C%20%EA%B8%B0%ED%83%80%20%EC%9D%B8%EB%B3%B4%ED%97%98%20%28%EC%A0%95%EC%95%A1%29%EB%8B%B4%20%EC%95%BD%EA%B4%80%20%EB%B3%B4%EC%9E%A5%EB%82%B4%EC%9A%A9" TargetMode="External" Id="rId2"/><Relationship Type="http://schemas.openxmlformats.org/officeDocument/2006/relationships/hyperlink" Target="https://search.naver.com/search.naver?query=KB%EC%86%90%EB%B3%B4%20KB%203.5.5%20%EC%98%A4%21%20%EC%8A%AC%EA%B8%B0%EB%A1%9C%EC%9A%B4%EA%B0%84%ED%8E%B8%20%EB%B3%B4%ED%97%98%EB%A3%8C%EB%82%A9%EC%9E%85%EB%A9%B4%EC%A0%9C%EB%8C%80%EC%83%81%EB%B3%B4%EC%9E%A5%28%20%EC%95%BD%EA%B4%80%20%EB%B3%B4%EC%9E%A5%EB%82%B4%EC%9A%A9" TargetMode="External" Id="rId3"/><Relationship Type="http://schemas.openxmlformats.org/officeDocument/2006/relationships/hyperlink" Target="https://search.naver.com/search.naver?query=KB%EC%86%90%EB%B3%B4%20KB%203.N.5%20%EC%8A%AC%EA%B8%B0%EB%A1%9C%EC%9A%B4%EA%B0%84%ED%8E%B8%EA%B1%B4%EA%B0%95%EB%B3%B4%20%EB%B3%B4%ED%97%98%EB%A3%8C%EB%82%A9%EC%9E%85%EB%A9%B4%EC%A0%9C%EB%8C%80%EC%83%81%EB%B3%B4%EC%9E%A5%28%20%EC%95%BD%EA%B4%80%20%EB%B3%B4%EC%9E%A5%EB%82%B4%EC%9A%A9" TargetMode="External" Id="rId4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A%B4%80%EC%A0%88%ED%86%B5%EC%A6%9D%EC%A3%BC%EC%82%AC%EC%B9%98%EB%A3%8C%EB%B9%84%28%EA%B8%89%EC%97%AC%20%EC%95%BD%EA%B4%80%20%EB%B3%B4%EC%9E%A5%EB%82%B4%EC%9A%A9" TargetMode="External" Id="rId5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A%B8%B0%ED%9B%84%EC%84%B1%EC%A7%88%ED%99%98%EC%A7%84%EB%8B%A8%EB%B9%84%28%EC%97%B0%EA%B0%841%20%EC%95%BD%EA%B4%80%20%EB%B3%B4%EC%9E%A5%EB%82%B4%EC%9A%A9" TargetMode="External" Id="rId6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B%82%B4%EC%B8%A1%EC%83%81%EA%B3%BC%EC%97%BC%28%EA%B3%A8%ED%94%84%EC%97%98%EB%B3%B4%EC%9A%B0%29%20%EC%95%BD%EA%B4%80%20%EB%B3%B4%EC%9E%A5%EB%82%B4%EC%9A%A9" TargetMode="External" Id="rId7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B%8F%85%EC%95%A1%EC%84%B1%EB%8F%99%EB%AC%BC%EC%A0%91%EC%B4%89%EC%A4%91%EB%8F%85%EC%A7%84%EB%8B%A8%EB%B9%84%20%EC%95%BD%EA%B4%80%20%EB%B3%B4%EC%9E%A5%EB%82%B4%EC%9A%A9" TargetMode="External" Id="rId8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C%82%AC%EA%B3%A0%EB%B6%80%EC%83%81%EB%B3%B4%EC%9E%A5%E2%85%A0%20%EC%95%BD%EA%B4%80%20%EB%B3%B4%EC%9E%A5%EB%82%B4%EC%9A%A9" TargetMode="External" Id="rId9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9%B8%EC%B8%A1%EC%83%81%EA%B3%BC%EC%97%BC%28%ED%85%8C%EB%8B%88%EC%8A%A4%EC%97%98%EB%B3%B4%EC%9A%B0%20%EC%95%BD%EA%B4%80%20%EB%B3%B4%EC%9E%A5%EB%82%B4%EC%9A%A9" TargetMode="External" Id="rId10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A3%BC%EC%9A%94%EB%8B%A4%EB%A6%AC%EA%B7%BC%EC%9C%A1%EC%97%BC%EC%A6%9D%EC%A7%84%EB%8B%A8%EB%B9%84%20%EC%95%BD%EA%B4%80%20%EB%B3%B4%EC%9E%A5%EB%82%B4%EC%9A%A9" TargetMode="External" Id="rId11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A3%BC%EC%9A%94%ED%8C%94%EA%B7%BC%EC%9C%A1%EC%97%BC%EC%A6%9D%EC%A7%84%EB%8B%A8%EB%B9%84%20%EC%95%BD%EA%B4%80%20%EB%B3%B4%EC%9E%A5%EB%82%B4%EC%9A%A9" TargetMode="External" Id="rId12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D%8A%B9%EC%A0%95%EB%B2%95%EC%A0%95%EA%B0%90%EC%97%BC%EB%B3%91%EC%A7%84%EB%8B%A8%EB%B9%84%20%EC%95%BD%EA%B4%80%20%EB%B3%B4%EC%9E%A5%EB%82%B4%EC%9A%A9" TargetMode="External" Id="rId13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CT%EA%B2%80%EC%82%AC%EB%B9%84%28%EA%B8%89%EC%97%AC%2C%20%20%EC%95%BD%EA%B4%80%20%EB%B3%B4%EC%9E%A5%EB%82%B4%EC%9A%A9" TargetMode="External" Id="rId14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C%82%AC%EA%B3%A0%EB%B6%80%EC%83%81%EB%B3%B4%EC%9E%A5%E2%85%A1%20%EC%95%BD%EA%B4%80%20%EB%B3%B4%EC%9E%A5%EB%82%B4%EC%9A%A9" TargetMode="External" Id="rId15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C%82%AC%EA%B3%A0%EB%B6%80%EC%83%81%EB%B3%B4%EC%9E%A5%E2%85%A2%20%EC%95%BD%EA%B4%80%20%EB%B3%B4%EC%9E%A5%EB%82%B4%EC%9A%A9" TargetMode="External" Id="rId16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9%B8%EC%83%81%EC%84%B1%ED%8A%B9%EC%A0%95%EB%87%8C%EC%86%90%EC%83%81%20%EC%A7%84%EB%8B%A8%EB%B9%84%20%EC%95%BD%EA%B4%80%20%EB%B3%B4%EC%9E%A5%EB%82%B4%EC%9A%A9" TargetMode="External" Id="rId17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9%B8%EC%83%81%EC%84%B1%ED%8A%B9%EC%A0%95%EC%9E%A5%EA%B8%B0%EC%86%90%EC%83%81%20%EC%A7%84%EB%8B%A8%20%EC%95%BD%EA%B4%80%20%EB%B3%B4%EC%9E%A5%EB%82%B4%EC%9A%A9" TargetMode="External" Id="rId18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B9%98%EC%95%84%ED%8C%8C%EC%A0%88%EC%A7%84%EB%8B%A8%EB%B9%84%28%EC%97%B0%EA%B0%843%ED%9A%8C%20%EC%95%BD%EA%B4%80%20%EB%B3%B4%EC%9E%A5%EB%82%B4%EC%9A%A9" TargetMode="External" Id="rId19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B2%99%EC%B6%94%EC%A7%88%EB%B3%91%EC%88%98%EC%88%A0%EB%B9%84%20%EC%95%BD%EA%B4%80%20%EB%B3%B4%EC%9E%A5%EB%82%B4%EC%9A%A9" TargetMode="External" Id="rId20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D%9D%89%ED%84%B0%EB%B3%B5%EC%9B%90%EC%88%98%EC%88%A0%EB%B9%84%20%EC%95%BD%EA%B4%80%20%EB%B3%B4%EC%9E%A5%EB%82%B4%EC%9A%A9" TargetMode="External" Id="rId21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D%9D%89%ED%84%B0%EB%B3%B5%EC%9B%90%EC%88%98%EC%88%A0%EB%B9%84%E2%85%A1%28%EC%95%88%20%EC%95%BD%EA%B4%80%20%EB%B3%B4%EC%9E%A5%EB%82%B4%EC%9A%A9" TargetMode="External" Id="rId22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9%B8%EB%AA%A8%ED%8A%B9%EC%A0%95%EC%83%81%ED%95%B4%28%EB%A8%B8%EB%A6%AC%2C%EB%AA%A9%29%20%EC%95%BD%EA%B4%80%20%EB%B3%B4%EC%9E%A5%EB%82%B4%EC%9A%A9" TargetMode="External" Id="rId23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B%AC%B4%EB%A6%8E%EC%9D%B8%EB%8C%80%ED%8C%8C%EC%97%B4%E2%88%AC%EC%97%B0%EA%B3%A8%EC%86%90%EC%83%81%EC%88%98%20%EC%95%BD%EA%B4%80%20%EB%B3%B4%EC%9E%A5%EB%82%B4%EC%9A%A9" TargetMode="External" Id="rId24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B%A0%EA%B2%BD%EC%84%B1%ED%98%95%EC%88%98%EC%88%A0%EB%B9%84%28%EA%B8%89%EC%97%AC%2C%20%20%EC%95%BD%EA%B4%80%20%EB%B3%B4%EC%9E%A5%EB%82%B4%EC%9A%A9" TargetMode="External" Id="rId25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E%90%EA%B0%80%EC%97%B0%EA%B3%A8%28%EC%84%B8%ED%8F%AC%29%EC%9D%B4%EC%8B%9D%EC%88%98%EC%88%A0%20%EC%95%BD%EA%B4%80%20%EB%B3%B4%EC%9E%A5%EB%82%B4%EC%9A%A9" TargetMode="External" Id="rId26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5%20%EC%B9%98%ED%95%B5%EC%88%98%EC%88%A0%EB%B9%84%20%EC%95%BD%EA%B4%80%20%EB%B3%B4%EC%9E%A5%EB%82%B4%EC%9A%A9" TargetMode="External" Id="rId27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3%EB%8C%80%ED%95%98%EC%A7%80%EA%B4%80%EC%A0%88%EC%83%81%ED%95%B4%EC%88%98%EC%88%A0%EB%B9%84%20%EC%95%BD%EA%B4%80%20%EB%B3%B4%EC%9E%A5%EB%82%B4%EC%9A%A9" TargetMode="External" Id="rId28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B%87%8C%E2%88%AC%EB%82%B4%EC%9E%A5%EC%86%90%EC%83%81%EC%88%98%EC%88%A0%EB%B9%84%20%EC%95%BD%EA%B4%80%20%EB%B3%B4%EC%9E%A5%EB%82%B4%EC%9A%A9" TargetMode="External" Id="rId29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C%88%98%EC%88%A0%EB%B9%84%28%EC%83%81%EA%B8%89%EC%A2%85%ED%95%A9%EB%B3%91%EC%9B%90%20%EC%95%BD%EA%B4%80%20%EB%B3%B4%EC%9E%A5%EB%82%B4%EC%9A%A9" TargetMode="External" Id="rId30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83%81%ED%95%B4%EC%88%98%EC%88%A0%EB%B9%84%28%EC%A2%85%ED%95%A9%EB%B3%91%EC%9B%90%29%20%EC%95%BD%EA%B4%80%20%EB%B3%B4%EC%9E%A5%EB%82%B4%EC%9A%A9" TargetMode="External" Id="rId31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B2%99%EC%B6%94%EC%83%81%ED%95%B4%EC%88%98%EC%88%A0%EB%B9%84%20%EC%95%BD%EA%B4%80%20%EB%B3%B4%EC%9E%A5%EB%82%B4%EC%9A%A9" TargetMode="External" Id="rId32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A%B3%A8%EA%B4%80%EC%A0%88%EA%B3%A0%EC%A0%95%EC%88%98%EC%88%A0%EB%B9%84%28%EA%B8%89%EC%97%AC%2C%20%EC%95%BD%EA%B4%80%20%EB%B3%B4%EC%9E%A5%EB%82%B4%EC%9A%A9" TargetMode="External" Id="rId33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A%B0%95%EB%A0%A5%EB%B2%94%EC%A3%84%ED%94%BC%ED%95%B4%EB%B3%B4%EC%9E%A5%20%EC%95%BD%EA%B4%80%20%EB%B3%B4%EC%9E%A5%EB%82%B4%EC%9A%A9" TargetMode="External" Id="rId34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A%B2%A9%EB%A6%AC%EC%8B%A4%EC%9E%85%EC%9B%90%28%EC%9D%8C%EC%95%95%29%EC%B9%98%EB%A3%8C%EB%B9%84%20%EC%95%BD%EA%B4%80%20%EB%B3%B4%EC%9E%A5%EB%82%B4%EC%9A%A9" TargetMode="External" Id="rId35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A%B2%A9%EB%A6%AC%EC%8B%A4%EC%9E%85%EC%9B%90%28%EC%9D%BC%EB%B0%98%29%EC%B9%98%EB%A3%8C%EB%B9%84%20%EC%95%BD%EA%B4%80%20%EB%B3%B4%EC%9E%A5%EB%82%B4%EC%9A%A9" TargetMode="External" Id="rId36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E%90%EB%8F%99%EC%B0%A8%EC%82%AC%EA%B3%A0%EB%B6%80%EC%83%81%EB%B3%B4%EC%9E%A5%281~%20%EC%95%BD%EA%B4%80%20%EB%B3%B4%EC%9E%A5%EB%82%B4%EC%9A%A9" TargetMode="External" Id="rId37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E%90%EB%8F%99%EC%B0%A8%EC%82%AC%EA%B3%A0%EB%B6%80%EC%83%81%EB%B3%B4%EC%9E%A5A%281%20%EC%95%BD%EA%B4%80%20%EB%B3%B4%EC%9E%A5%EB%82%B4%EC%9A%A9" TargetMode="External" Id="rId38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E%90%EB%8F%99%EC%B0%A8%EC%82%AC%EA%B3%A0%EC%B9%98%EC%95%84%EB%B3%B4%EC%B2%A0%EB%B3%B4%EC%9E%A5%20%EC%95%BD%EA%B4%80%20%EB%B3%B4%EC%9E%A5%EB%82%B4%EC%9A%A9" TargetMode="External" Id="rId39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B%B3%B4%ED%97%98%EB%A3%8C%EC%9D%BC%EC%8B%9C%EB%82%A9%EC%9E%85%EC%A7%80%EC%9B%90%28%EC%9E%90%EB%8F%99%20%EC%95%BD%EA%B4%80%20%EB%B3%B4%EC%9E%A5%EB%82%B4%EC%9A%A9" TargetMode="External" Id="rId40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E%90%EB%8F%99%EC%B0%A8%EC%82%AC%EA%B3%A0%EB%B6%80%EC%83%81%EB%B3%B4%EC%9E%A5%281~%20%EC%95%BD%EA%B4%80%20%EB%B3%B4%EC%9E%A5%EB%82%B4%EC%9A%A9" TargetMode="External" Id="rId41"/><Relationship Type="http://schemas.openxmlformats.org/officeDocument/2006/relationships/hyperlink" Target="https://search.naver.com/search.naver?query=KB%EC%86%90%EB%B3%B4%20KB%20%ED%94%8C%EB%9F%AC%EC%8A%A4%20%EC%9A%B4%EC%A0%84%EC%9E%90%EC%83%81%ED%95%B4%EB%B3%B4%ED%97%98%20%EB%AC%B4%EB%B0%B0%EB%8B%B9%20%EC%9E%90%EB%8F%99%EC%B0%A8%EC%82%AC%EA%B3%A0%EB%B6%80%EC%83%81%EB%B3%B4%EC%9E%A5A%281%20%EC%95%BD%EA%B4%80%20%EB%B3%B4%EC%9E%A5%EB%82%B4%EC%9A%A9" TargetMode="External" Id="rId42"/><Relationship Type="http://schemas.openxmlformats.org/officeDocument/2006/relationships/hyperlink" Target="https://search.naver.com/search.naver?query=KB%EC%86%90%EB%B3%B4%20KB%203.N.5%20%EC%8A%AC%EA%B8%B0%EB%A1%9C%EC%9A%B4%20%EA%B0%84%ED%8E%B8%EA%B1%B4%EA%B0%95%20%EB%B3%B4%ED%97%98%EB%A3%8C%EB%82%A9%EC%9E%85%EB%A9%B4%EC%A0%9C%EB%8C%80%EC%83%81%EB%B3%B4%EC%9E%A5%28%20%EC%95%BD%EA%B4%80%20%EB%B3%B4%EC%9E%A5%EB%82%B4%EC%9A%A9" TargetMode="External" Id="rId43"/><Relationship Type="http://schemas.openxmlformats.org/officeDocument/2006/relationships/hyperlink" Target="https://search.naver.com/search.naver?query=KB%EC%86%90%EB%B3%B4%20KB%203.N.5%20%EC%8A%AC%EA%B8%B0%EB%A1%9C%EC%9A%B4%20%EA%B0%84%ED%8E%B8%EA%B1%B4%EA%B0%95%20%ED%95%AD%EC%95%94%EB%B0%A9%EC%82%AC%EC%84%A0%EC%B9%98%EB%A3%8C%EB%B9%84%28%EB%82%A8%EC%84%B1%EC%83%9D%20%EC%95%BD%EA%B4%80%20%EB%B3%B4%EC%9E%A5%EB%82%B4%EC%9A%A9" TargetMode="External" Id="rId44"/><Relationship Type="http://schemas.openxmlformats.org/officeDocument/2006/relationships/hyperlink" Target="https://search.naver.com/search.naver?query=KB%EC%86%90%EB%B3%B4%20KB%203.N.5%20%EC%8A%AC%EA%B8%B0%EB%A1%9C%EC%9A%B4%20%EA%B0%84%ED%8E%B8%EA%B1%B4%EA%B0%95%20%EB%B3%B4%ED%97%98%EB%A3%8C%EB%82%A9%EC%9E%85%EB%A9%B4%EC%A0%9C%EB%8C%80%EC%83%81%EB%B3%B4%EC%9E%A5%28%20%EC%95%BD%EA%B4%80%20%EB%B3%B4%EC%9E%A5%EB%82%B4%EC%9A%A9" TargetMode="External" Id="rId45"/><Relationship Type="http://schemas.openxmlformats.org/officeDocument/2006/relationships/hyperlink" Target="https://search.naver.com/search.naver?query=KB%EC%86%90%EB%B3%B4%20KB%203.N.5%20%EC%8A%AC%EA%B8%B0%EB%A1%9C%EC%9A%B4%20%EA%B0%84%ED%8E%B8%EA%B1%B4%EA%B0%95%20%ED%8A%B9%EC%A0%95%20%EC%96%91%EC%84%B1%EC%A2%85%EC%96%91%20%EC%88%98%EC%88%A0%EB%B9%84%E2%85%A0%20%EC%95%BD%EA%B4%80%20%EB%B3%B4%EC%9E%A5%EB%82%B4%EC%9A%A9" TargetMode="External" Id="rId46"/><Relationship Type="http://schemas.openxmlformats.org/officeDocument/2006/relationships/hyperlink" Target="https://search.naver.com/search.naver?query=KB%EC%86%90%EB%B3%B4%20KB%203.N.5%20%EC%8A%AC%EA%B8%B0%EB%A1%9C%EC%9A%B4%20%EA%B0%84%ED%8E%B8%EA%B1%B4%EA%B0%95%20%ED%8A%B9%EC%A0%95%20%EC%96%91%EC%84%B1%EC%A2%85%EC%96%91%20%EC%88%98%EC%88%A0%EB%B9%84%E2%85%A1%20%EC%95%BD%EA%B4%80%20%EB%B3%B4%EC%9E%A5%EB%82%B4%EC%9A%A9" TargetMode="External" Id="rId47"/><Relationship Type="http://schemas.openxmlformats.org/officeDocument/2006/relationships/hyperlink" Target="https://search.naver.com/search.naver?query=KB%EC%86%90%EB%B3%B4%20KB%203.N.5%20%EC%8A%AC%EA%B8%B0%EB%A1%9C%EC%9A%B4%20%EA%B0%84%ED%8E%B8%EA%B1%B4%EA%B0%95%20%ED%8A%B9%EC%A0%95%20%EC%96%91%EC%84%B1%EC%A2%85%EC%96%91%20%EC%88%98%EC%88%A0%EB%B9%84%E2%85%A3%20%EC%95%BD%EA%B4%80%20%EB%B3%B4%EC%9E%A5%EB%82%B4%EC%9A%A9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9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1.3984375" customWidth="1" style="82" min="12" max="18"/>
  </cols>
  <sheetData>
    <row r="1" ht="38.25" customHeight="1" s="82">
      <c r="A1" s="152" t="inlineStr">
        <is>
          <t>김선우 보장진단</t>
        </is>
      </c>
      <c r="B1" s="153" t="n"/>
      <c r="C1" s="154" t="inlineStr">
        <is>
          <t>NH농협생명
치료비안심해2NH건강보험(갱신형,무배당)_2601 1형(일반가입형)
[갱신]</t>
        </is>
      </c>
      <c r="D1" s="154" t="inlineStr">
        <is>
          <t>KB손보
KB 3.5.5 오! 슬기로운간편건강보험Plus(무배당)(24.09)_연만기
[갱신]</t>
        </is>
      </c>
      <c r="E1" s="154" t="inlineStr">
        <is>
          <t>KB손보
KB 3.N.5 슬기로운간편건강보험Plus(연만기갱신형)(무배당)(25.01)
[갱신]</t>
        </is>
      </c>
      <c r="F1" s="154" t="inlineStr">
        <is>
          <t>KB손보
KB 플러스 운전자상해보험(무배당)(25.01)
[갱신]</t>
        </is>
      </c>
      <c r="G1" s="155" t="inlineStr">
        <is>
          <t>KB손보
KB손보 간편가입 실손의료비보장보험(무배당)(25.01)
[비갱신]
(4세대 실손)</t>
        </is>
      </c>
      <c r="H1" s="154" t="inlineStr">
        <is>
          <t>KB손보
KB 플러스 운전자상해보험(무배당)(26.01)
[갱신]</t>
        </is>
      </c>
      <c r="I1" s="155" t="inlineStr">
        <is>
          <t>KB손보
KB 3.N.5 슬기로운 간편건강보험Plus(세만기)(무배당)(26.01)
[비갱신]</t>
        </is>
      </c>
      <c r="J1" s="156" t="inlineStr">
        <is>
          <t>KB손보
KB 3.N.5 슬기로운 간편건강보험Plus(세만기)(무배당)(26.01)
[비갱신]</t>
        </is>
      </c>
      <c r="K1" s="157" t="inlineStr">
        <is>
          <t>합계</t>
        </is>
      </c>
    </row>
    <row r="2" ht="16.5" customHeight="1" s="82">
      <c r="A2" s="158" t="inlineStr">
        <is>
          <t>보험료</t>
        </is>
      </c>
      <c r="B2" s="159" t="n"/>
      <c r="C2" s="160" t="n">
        <v>43286</v>
      </c>
      <c r="D2" s="160" t="n">
        <v>63000</v>
      </c>
      <c r="E2" s="160" t="n">
        <v>40000</v>
      </c>
      <c r="F2" s="160" t="n">
        <v>50000</v>
      </c>
      <c r="G2" s="161" t="n"/>
      <c r="H2" s="160" t="n">
        <v>20000</v>
      </c>
      <c r="I2" s="162" t="n">
        <v>60000</v>
      </c>
      <c r="J2" s="162" t="n">
        <v>150000</v>
      </c>
      <c r="K2" s="163">
        <f>SUM(C2:J2)</f>
        <v>426286</v>
      </c>
    </row>
    <row r="3" ht="16.5" customHeight="1" s="82">
      <c r="A3" s="164" t="inlineStr">
        <is>
          <t>가입년일</t>
        </is>
      </c>
      <c r="B3" s="159" t="n"/>
      <c r="C3" s="165" t="inlineStr">
        <is>
          <t>2026.06.08</t>
        </is>
      </c>
      <c r="D3" s="165" t="inlineStr">
        <is>
          <t>2024.09.25</t>
        </is>
      </c>
      <c r="E3" s="165" t="inlineStr">
        <is>
          <t>2025.01.24</t>
        </is>
      </c>
      <c r="F3" s="165" t="inlineStr">
        <is>
          <t>2025.03.10</t>
        </is>
      </c>
      <c r="G3" s="161" t="inlineStr">
        <is>
          <t>2022.09.17</t>
        </is>
      </c>
      <c r="H3" s="165" t="inlineStr">
        <is>
          <t>2026.04.21</t>
        </is>
      </c>
      <c r="I3" s="161" t="inlineStr">
        <is>
          <t>2026.04.21</t>
        </is>
      </c>
      <c r="J3" s="161" t="inlineStr">
        <is>
          <t>2026.04.27</t>
        </is>
      </c>
      <c r="K3" s="166" t="n"/>
    </row>
    <row r="4" ht="16.5" customHeight="1" s="82">
      <c r="A4" s="164" t="inlineStr">
        <is>
          <t>만기일자</t>
        </is>
      </c>
      <c r="B4" s="159" t="n"/>
      <c r="C4" s="165" t="inlineStr">
        <is>
          <t>2046.06.08</t>
        </is>
      </c>
      <c r="D4" s="165" t="inlineStr">
        <is>
          <t>2078.09.25</t>
        </is>
      </c>
      <c r="E4" s="165" t="inlineStr">
        <is>
          <t>2079.01.24</t>
        </is>
      </c>
      <c r="F4" s="165" t="inlineStr">
        <is>
          <t>2045.03.10</t>
        </is>
      </c>
      <c r="G4" s="161" t="inlineStr">
        <is>
          <t>2022.09.18</t>
        </is>
      </c>
      <c r="H4" s="165" t="inlineStr">
        <is>
          <t>2046.04.21</t>
        </is>
      </c>
      <c r="I4" s="161" t="inlineStr">
        <is>
          <t>2058.04.21</t>
        </is>
      </c>
      <c r="J4" s="161" t="inlineStr">
        <is>
          <t>2058.04.27</t>
        </is>
      </c>
      <c r="K4" s="166" t="n"/>
    </row>
    <row r="5" ht="17.25" customHeight="1" s="82">
      <c r="A5" s="164" t="inlineStr">
        <is>
          <t>총납입기간</t>
        </is>
      </c>
      <c r="B5" s="159" t="n"/>
      <c r="C5" s="165" t="inlineStr">
        <is>
          <t>20년납 (1/240)</t>
        </is>
      </c>
      <c r="D5" s="165" t="inlineStr">
        <is>
          <t>20년납 ()</t>
        </is>
      </c>
      <c r="E5" s="165" t="inlineStr">
        <is>
          <t>20년납 (17/240)</t>
        </is>
      </c>
      <c r="F5" s="165" t="inlineStr">
        <is>
          <t>20년납 (16/240)</t>
        </is>
      </c>
      <c r="G5" s="161" t="inlineStr">
        <is>
          <t>25년납 ()</t>
        </is>
      </c>
      <c r="H5" s="165" t="inlineStr">
        <is>
          <t>20년납 (2/240)</t>
        </is>
      </c>
      <c r="I5" s="161" t="inlineStr">
        <is>
          <t>20년납 ()</t>
        </is>
      </c>
      <c r="J5" s="161" t="inlineStr">
        <is>
          <t>20년납 ()</t>
        </is>
      </c>
      <c r="K5" s="166" t="n"/>
    </row>
    <row r="6" ht="16.5" customHeight="1" s="82">
      <c r="A6" s="167" t="inlineStr">
        <is>
          <t>사망</t>
        </is>
      </c>
      <c r="B6" s="168" t="inlineStr">
        <is>
          <t>일반사망</t>
        </is>
      </c>
      <c r="C6" s="169" t="n">
        <v>300</v>
      </c>
      <c r="D6" s="170" t="n"/>
      <c r="E6" s="170" t="n"/>
      <c r="F6" s="170" t="n"/>
      <c r="G6" s="170" t="n"/>
      <c r="H6" s="170" t="n"/>
      <c r="I6" s="170" t="n"/>
      <c r="J6" s="170" t="n"/>
      <c r="K6" s="171">
        <f>SUM(C6:J6)</f>
        <v>300</v>
      </c>
    </row>
    <row r="7" ht="17.25" customHeight="1" s="82">
      <c r="A7" s="172" t="n"/>
      <c r="B7" s="173" t="inlineStr">
        <is>
          <t>중대한CI적용</t>
        </is>
      </c>
      <c r="C7" s="174" t="n"/>
      <c r="D7" s="174" t="n"/>
      <c r="E7" s="174" t="n"/>
      <c r="F7" s="174" t="n"/>
      <c r="G7" s="174" t="n"/>
      <c r="H7" s="174" t="n"/>
      <c r="I7" s="174" t="n"/>
      <c r="J7" s="174" t="n"/>
      <c r="K7" s="175">
        <f>SUM(C7:J7)</f>
        <v>0</v>
      </c>
    </row>
    <row r="8" ht="17.25" customHeight="1" s="82">
      <c r="A8" s="172" t="n"/>
      <c r="B8" s="176" t="inlineStr">
        <is>
          <t>질병사망(80세)</t>
        </is>
      </c>
      <c r="C8" s="174" t="n"/>
      <c r="D8" s="174" t="n"/>
      <c r="E8" s="174" t="n"/>
      <c r="F8" s="174" t="n"/>
      <c r="G8" s="174" t="n"/>
      <c r="H8" s="174" t="n"/>
      <c r="I8" s="174" t="n"/>
      <c r="J8" s="174" t="n"/>
      <c r="K8" s="175">
        <f>SUM(C8:J8)</f>
        <v>0</v>
      </c>
    </row>
    <row r="9" ht="16.5" customHeight="1" s="82">
      <c r="A9" s="172" t="n"/>
      <c r="B9" s="176" t="inlineStr">
        <is>
          <t>교통상해사망</t>
        </is>
      </c>
      <c r="C9" s="174" t="n"/>
      <c r="D9" s="174" t="n"/>
      <c r="E9" s="174" t="n"/>
      <c r="F9" s="174" t="n"/>
      <c r="G9" s="174" t="n"/>
      <c r="H9" s="174" t="n"/>
      <c r="I9" s="174" t="n"/>
      <c r="J9" s="174" t="n"/>
      <c r="K9" s="175">
        <f>SUM(C9:J9)</f>
        <v>0</v>
      </c>
    </row>
    <row r="10" ht="17.25" customHeight="1" s="82">
      <c r="A10" s="177" t="n"/>
      <c r="B10" s="178" t="inlineStr">
        <is>
          <t>상해사망</t>
        </is>
      </c>
      <c r="C10" s="160" t="n">
        <v>300</v>
      </c>
      <c r="D10" s="160" t="n">
        <v>1000</v>
      </c>
      <c r="E10" s="160" t="n">
        <v>1000</v>
      </c>
      <c r="F10" s="160" t="n">
        <v>10000</v>
      </c>
      <c r="G10" s="179" t="n"/>
      <c r="H10" s="179" t="n"/>
      <c r="I10" s="162" t="n">
        <v>100</v>
      </c>
      <c r="J10" s="162" t="n">
        <v>100</v>
      </c>
      <c r="K10" s="163">
        <f>SUM(C10:J10)</f>
        <v>12500</v>
      </c>
    </row>
    <row r="11" ht="16.5" customHeight="1" s="82">
      <c r="A11" s="180" t="inlineStr">
        <is>
          <t>후유장애</t>
        </is>
      </c>
      <c r="B11" s="176" t="inlineStr">
        <is>
          <t>상해후유3%</t>
        </is>
      </c>
      <c r="C11" s="174" t="n"/>
      <c r="D11" s="174" t="n"/>
      <c r="E11" s="174" t="n"/>
      <c r="F11" s="181" t="n">
        <v>10100</v>
      </c>
      <c r="G11" s="174" t="n"/>
      <c r="H11" s="181" t="n">
        <v>500</v>
      </c>
      <c r="I11" s="174" t="n"/>
      <c r="J11" s="174" t="n"/>
      <c r="K11" s="175">
        <f>SUM(C11:J11)</f>
        <v>10600</v>
      </c>
    </row>
    <row r="12" ht="16.5" customHeight="1" s="82">
      <c r="A12" s="172" t="n"/>
      <c r="B12" s="176" t="inlineStr">
        <is>
          <t>상해후유80%</t>
        </is>
      </c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5">
        <f>SUM(C12:J12)</f>
        <v>0</v>
      </c>
    </row>
    <row r="13" ht="16.5" customHeight="1" s="82">
      <c r="A13" s="172" t="n"/>
      <c r="B13" s="176" t="inlineStr">
        <is>
          <t>질병후유3%</t>
        </is>
      </c>
      <c r="C13" s="174" t="n"/>
      <c r="D13" s="174" t="n"/>
      <c r="E13" s="174" t="n"/>
      <c r="F13" s="174" t="n"/>
      <c r="G13" s="174" t="n"/>
      <c r="H13" s="174" t="n"/>
      <c r="I13" s="174" t="n"/>
      <c r="J13" s="174" t="n"/>
      <c r="K13" s="175">
        <f>SUM(C13:J13)</f>
        <v>0</v>
      </c>
    </row>
    <row r="14" ht="17.25" customHeight="1" s="82">
      <c r="A14" s="177" t="n"/>
      <c r="B14" s="178" t="inlineStr">
        <is>
          <t>질병후유80%</t>
        </is>
      </c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63">
        <f>SUM(C14:J14)</f>
        <v>0</v>
      </c>
    </row>
    <row r="15" ht="17.25" customHeight="1" s="82">
      <c r="A15" s="180" t="inlineStr">
        <is>
          <t>암</t>
        </is>
      </c>
      <c r="B15" s="176" t="inlineStr">
        <is>
          <t>고액암</t>
        </is>
      </c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5">
        <f>SUM(C15:J15)</f>
        <v>0</v>
      </c>
    </row>
    <row r="16" ht="16.5" customHeight="1" s="82">
      <c r="A16" s="172" t="n"/>
      <c r="B16" s="173" t="inlineStr">
        <is>
          <t>일반암</t>
        </is>
      </c>
      <c r="C16" s="174" t="n"/>
      <c r="D16" s="174" t="n"/>
      <c r="E16" s="181" t="n">
        <v>500</v>
      </c>
      <c r="F16" s="174" t="n"/>
      <c r="G16" s="174" t="n"/>
      <c r="H16" s="174" t="n"/>
      <c r="I16" s="174" t="n"/>
      <c r="J16" s="182" t="n">
        <v>1000</v>
      </c>
      <c r="K16" s="175">
        <f>SUM(C16:J16)</f>
        <v>1500</v>
      </c>
    </row>
    <row r="17" ht="17.25" customHeight="1" s="82">
      <c r="A17" s="172" t="n"/>
      <c r="B17" s="173" t="inlineStr">
        <is>
          <t>중대한 암</t>
        </is>
      </c>
      <c r="C17" s="174" t="n"/>
      <c r="D17" s="174" t="n"/>
      <c r="E17" s="174" t="n"/>
      <c r="F17" s="174" t="n"/>
      <c r="G17" s="174" t="n"/>
      <c r="H17" s="174" t="n"/>
      <c r="I17" s="174" t="n"/>
      <c r="J17" s="174" t="n"/>
      <c r="K17" s="175">
        <f>SUM(C17:J17)</f>
        <v>0</v>
      </c>
    </row>
    <row r="18" ht="16.5" customHeight="1" s="82">
      <c r="A18" s="172" t="n"/>
      <c r="B18" s="176" t="inlineStr">
        <is>
          <t>유사암(갑.기.경.제)</t>
        </is>
      </c>
      <c r="C18" s="174" t="n"/>
      <c r="D18" s="174" t="n"/>
      <c r="E18" s="181" t="n">
        <v>100</v>
      </c>
      <c r="F18" s="174" t="n"/>
      <c r="G18" s="174" t="n"/>
      <c r="H18" s="174" t="n"/>
      <c r="I18" s="174" t="n"/>
      <c r="J18" s="182" t="n">
        <v>200</v>
      </c>
      <c r="K18" s="175">
        <f>SUM(C18:J18)</f>
        <v>300</v>
      </c>
    </row>
    <row r="19" ht="16.5" customHeight="1" s="82">
      <c r="A19" s="172" t="n"/>
      <c r="B19" s="176" t="inlineStr">
        <is>
          <t>통합전이암</t>
        </is>
      </c>
      <c r="C19" s="174" t="n"/>
      <c r="D19" s="174" t="n"/>
      <c r="E19" s="174" t="n"/>
      <c r="F19" s="174" t="n"/>
      <c r="G19" s="174" t="n"/>
      <c r="H19" s="174" t="n"/>
      <c r="I19" s="174" t="n"/>
      <c r="J19" s="174" t="n"/>
      <c r="K19" s="175">
        <f>SUM(C19:J19)</f>
        <v>0</v>
      </c>
    </row>
    <row r="20" ht="16.5" customHeight="1" s="82">
      <c r="A20" s="172" t="n"/>
      <c r="B20" s="176" t="inlineStr">
        <is>
          <t>암주요치료비</t>
        </is>
      </c>
      <c r="C20" s="183" t="n"/>
      <c r="D20" s="183" t="n"/>
      <c r="E20" s="183" t="n"/>
      <c r="F20" s="183" t="n"/>
      <c r="G20" s="183" t="n"/>
      <c r="H20" s="183" t="n"/>
      <c r="I20" s="174" t="n"/>
      <c r="J20" s="182" t="n">
        <v>1000</v>
      </c>
      <c r="K20" s="175">
        <f>SUM(C20:J20)</f>
        <v>1000</v>
      </c>
    </row>
    <row r="21" ht="16.5" customHeight="1" s="82">
      <c r="A21" s="172" t="n"/>
      <c r="B21" s="176" t="inlineStr">
        <is>
          <t>하이클래스(암)</t>
        </is>
      </c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5">
        <f>SUM(C21:J21)</f>
        <v>0</v>
      </c>
    </row>
    <row r="22" ht="16.5" customHeight="1" s="82">
      <c r="A22" s="172" t="n"/>
      <c r="B22" s="176" t="inlineStr">
        <is>
          <t>중입자치료비</t>
        </is>
      </c>
      <c r="C22" s="181" t="n">
        <v>5000</v>
      </c>
      <c r="D22" s="183" t="n"/>
      <c r="E22" s="183" t="n"/>
      <c r="F22" s="183" t="n"/>
      <c r="G22" s="183" t="n"/>
      <c r="H22" s="183" t="n"/>
      <c r="I22" s="182" t="n">
        <v>5000</v>
      </c>
      <c r="J22" s="174" t="n"/>
      <c r="K22" s="175">
        <f>IF(COUNT(C22:J22)=0,0,MAX(C22:J22))</f>
        <v>5000</v>
      </c>
    </row>
    <row r="23" ht="16.5" customHeight="1" s="82">
      <c r="A23" s="172" t="n"/>
      <c r="B23" s="176" t="inlineStr">
        <is>
          <t>표적항암치료비</t>
        </is>
      </c>
      <c r="C23" s="183" t="n"/>
      <c r="D23" s="183" t="n"/>
      <c r="E23" s="183" t="n"/>
      <c r="F23" s="183" t="n"/>
      <c r="G23" s="183" t="n"/>
      <c r="H23" s="183" t="n"/>
      <c r="I23" s="174" t="n"/>
      <c r="J23" s="174" t="n"/>
      <c r="K23" s="175">
        <f>SUM(C23:J23)</f>
        <v>0</v>
      </c>
    </row>
    <row r="24" ht="16.5" customHeight="1" s="82">
      <c r="A24" s="172" t="n"/>
      <c r="B24" s="176" t="inlineStr">
        <is>
          <t>양성자치료</t>
        </is>
      </c>
      <c r="C24" s="183" t="n"/>
      <c r="D24" s="183" t="n"/>
      <c r="E24" s="183" t="n"/>
      <c r="F24" s="183" t="n"/>
      <c r="G24" s="183" t="n"/>
      <c r="H24" s="183" t="n"/>
      <c r="I24" s="174" t="n"/>
      <c r="J24" s="174" t="n"/>
      <c r="K24" s="175">
        <f>SUM(C24:J24)</f>
        <v>0</v>
      </c>
    </row>
    <row r="25" ht="16.5" customHeight="1" s="82">
      <c r="A25" s="172" t="n"/>
      <c r="B25" s="176" t="inlineStr">
        <is>
          <t>세기조절치료</t>
        </is>
      </c>
      <c r="C25" s="183" t="n"/>
      <c r="D25" s="183" t="n"/>
      <c r="E25" s="183" t="n"/>
      <c r="F25" s="183" t="n"/>
      <c r="G25" s="183" t="n"/>
      <c r="H25" s="183" t="n"/>
      <c r="I25" s="174" t="n"/>
      <c r="J25" s="174" t="n"/>
      <c r="K25" s="175">
        <f>SUM(C25:J25)</f>
        <v>0</v>
      </c>
    </row>
    <row r="26" ht="16.5" customHeight="1" s="82">
      <c r="A26" s="172" t="n"/>
      <c r="B26" s="176" t="inlineStr">
        <is>
          <t>다빈치로봇수술비</t>
        </is>
      </c>
      <c r="C26" s="183" t="n"/>
      <c r="D26" s="183" t="n"/>
      <c r="E26" s="183" t="n"/>
      <c r="F26" s="183" t="n"/>
      <c r="G26" s="183" t="n"/>
      <c r="H26" s="183" t="n"/>
      <c r="I26" s="174" t="n"/>
      <c r="J26" s="182" t="n">
        <v>800</v>
      </c>
      <c r="K26" s="175">
        <f>SUM(C26:J26)</f>
        <v>800</v>
      </c>
    </row>
    <row r="27" ht="16.5" customHeight="1" s="82">
      <c r="A27" s="172" t="n"/>
      <c r="B27" s="176" t="inlineStr">
        <is>
          <t>암수술</t>
        </is>
      </c>
      <c r="C27" s="174" t="n"/>
      <c r="D27" s="174" t="n"/>
      <c r="E27" s="174" t="n"/>
      <c r="F27" s="174" t="n"/>
      <c r="G27" s="174" t="n"/>
      <c r="H27" s="174" t="n"/>
      <c r="I27" s="174" t="n"/>
      <c r="J27" s="174" t="n"/>
      <c r="K27" s="175">
        <f>SUM(C27:J27)</f>
        <v>0</v>
      </c>
    </row>
    <row r="28" ht="17.25" customHeight="1" s="82">
      <c r="A28" s="172" t="n"/>
      <c r="B28" s="176" t="inlineStr">
        <is>
          <t>암일당</t>
        </is>
      </c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5">
        <f>SUM(C28:J28)</f>
        <v>0</v>
      </c>
    </row>
    <row r="29" ht="17.25" customHeight="1" s="82">
      <c r="A29" s="177" t="n"/>
      <c r="B29" s="178" t="inlineStr">
        <is>
          <t>항암방사선약물</t>
        </is>
      </c>
      <c r="C29" s="179" t="n"/>
      <c r="D29" s="179" t="n"/>
      <c r="E29" s="179" t="n"/>
      <c r="F29" s="179" t="n"/>
      <c r="G29" s="179" t="n"/>
      <c r="H29" s="179" t="n"/>
      <c r="I29" s="162" t="n">
        <v>100</v>
      </c>
      <c r="J29" s="179" t="n"/>
      <c r="K29" s="163">
        <f>SUM(C29:J29)</f>
        <v>100</v>
      </c>
    </row>
    <row r="30" ht="16.5" customHeight="1" s="82">
      <c r="A30" s="180" t="inlineStr">
        <is>
          <t>뇌혈관</t>
        </is>
      </c>
      <c r="B30" s="176" t="inlineStr">
        <is>
          <t>뇌혈관진단비</t>
        </is>
      </c>
      <c r="C30" s="174" t="n"/>
      <c r="D30" s="174" t="n"/>
      <c r="E30" s="181" t="n">
        <v>500</v>
      </c>
      <c r="F30" s="174" t="n"/>
      <c r="G30" s="174" t="n"/>
      <c r="H30" s="174" t="n"/>
      <c r="I30" s="174" t="n"/>
      <c r="J30" s="174" t="n"/>
      <c r="K30" s="175">
        <f>SUM(C30:J30)</f>
        <v>500</v>
      </c>
    </row>
    <row r="31" ht="17.25" customHeight="1" s="82">
      <c r="A31" s="172" t="n"/>
      <c r="B31" s="173" t="inlineStr">
        <is>
          <t>뇌졸증진단비</t>
        </is>
      </c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5">
        <f>SUM(C31:J31)</f>
        <v>0</v>
      </c>
    </row>
    <row r="32" ht="16.5" customHeight="1" s="82">
      <c r="A32" s="172" t="n"/>
      <c r="B32" s="173" t="inlineStr">
        <is>
          <t>중대한 뇌졸증</t>
        </is>
      </c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5">
        <f>SUM(C32:J32)</f>
        <v>0</v>
      </c>
    </row>
    <row r="33" ht="16.5" customHeight="1" s="82">
      <c r="A33" s="172" t="n"/>
      <c r="B33" s="176" t="inlineStr">
        <is>
          <t>뇌출혈진단비</t>
        </is>
      </c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5">
        <f>SUM(C33:J33)</f>
        <v>0</v>
      </c>
    </row>
    <row r="34" ht="16.5" customHeight="1" s="82">
      <c r="A34" s="172" t="n"/>
      <c r="B34" s="176" t="inlineStr">
        <is>
          <t>외상성뇌출혈</t>
        </is>
      </c>
      <c r="C34" s="174" t="n"/>
      <c r="D34" s="174" t="n"/>
      <c r="E34" s="174" t="n"/>
      <c r="F34" s="181" t="n">
        <v>1000</v>
      </c>
      <c r="G34" s="174" t="n"/>
      <c r="H34" s="174" t="n"/>
      <c r="I34" s="174" t="n"/>
      <c r="J34" s="174" t="n"/>
      <c r="K34" s="175">
        <f>SUM(C34:J34)</f>
        <v>1000</v>
      </c>
    </row>
    <row r="35" ht="16.5" customHeight="1" s="82">
      <c r="A35" s="172" t="n"/>
      <c r="B35" s="176" t="inlineStr">
        <is>
          <t>산정특례뇌혈관</t>
        </is>
      </c>
      <c r="C35" s="174" t="n"/>
      <c r="D35" s="174" t="n"/>
      <c r="E35" s="174" t="n"/>
      <c r="F35" s="174" t="n"/>
      <c r="G35" s="174" t="n"/>
      <c r="H35" s="174" t="n"/>
      <c r="I35" s="174" t="n"/>
      <c r="J35" s="174" t="n"/>
      <c r="K35" s="175">
        <f>SUM(C35:J35)</f>
        <v>0</v>
      </c>
    </row>
    <row r="36" ht="16.5" customHeight="1" s="82">
      <c r="A36" s="172" t="n"/>
      <c r="B36" s="176" t="inlineStr">
        <is>
          <t>2대 주요치료비</t>
        </is>
      </c>
      <c r="C36" s="174" t="n"/>
      <c r="D36" s="174" t="n"/>
      <c r="E36" s="174" t="n"/>
      <c r="F36" s="174" t="n"/>
      <c r="G36" s="174" t="n"/>
      <c r="H36" s="174" t="n"/>
      <c r="I36" s="182" t="n">
        <v>1000</v>
      </c>
      <c r="J36" s="174" t="n"/>
      <c r="K36" s="175">
        <f>SUM(C36:J36)</f>
        <v>1000</v>
      </c>
    </row>
    <row r="37" ht="16.5" customHeight="1" s="82">
      <c r="A37" s="177" t="n"/>
      <c r="B37" s="178" t="inlineStr">
        <is>
          <t>혈전용해치료비</t>
        </is>
      </c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63">
        <f>SUM(C37:J37)</f>
        <v>0</v>
      </c>
    </row>
    <row r="38" ht="16.5" customHeight="1" s="82">
      <c r="A38" s="180" t="inlineStr">
        <is>
          <t>심장</t>
        </is>
      </c>
      <c r="B38" s="176" t="inlineStr">
        <is>
          <t>협심증</t>
        </is>
      </c>
      <c r="C38" s="174" t="n"/>
      <c r="D38" s="174" t="n"/>
      <c r="E38" s="181" t="n">
        <v>700</v>
      </c>
      <c r="F38" s="174" t="n"/>
      <c r="G38" s="174" t="n"/>
      <c r="H38" s="174" t="n"/>
      <c r="I38" s="174" t="n"/>
      <c r="J38" s="174" t="n"/>
      <c r="K38" s="175">
        <f>SUM(C38:J38)</f>
        <v>700</v>
      </c>
    </row>
    <row r="39" ht="16.5" customHeight="1" s="82">
      <c r="A39" s="172" t="n"/>
      <c r="B39" s="176" t="inlineStr">
        <is>
          <t>심부전</t>
        </is>
      </c>
      <c r="C39" s="174" t="n"/>
      <c r="D39" s="174" t="n"/>
      <c r="E39" s="181" t="n">
        <v>700</v>
      </c>
      <c r="F39" s="174" t="n"/>
      <c r="G39" s="174" t="n"/>
      <c r="H39" s="174" t="n"/>
      <c r="I39" s="174" t="n"/>
      <c r="J39" s="174" t="n"/>
      <c r="K39" s="175">
        <f>SUM(C39:J39)</f>
        <v>700</v>
      </c>
    </row>
    <row r="40" ht="16.5" customHeight="1" s="82">
      <c r="A40" s="172" t="n"/>
      <c r="B40" s="176" t="inlineStr">
        <is>
          <t>빈맥</t>
        </is>
      </c>
      <c r="C40" s="174" t="n"/>
      <c r="D40" s="174" t="n"/>
      <c r="E40" s="181" t="n">
        <v>700</v>
      </c>
      <c r="F40" s="174" t="n"/>
      <c r="G40" s="174" t="n"/>
      <c r="H40" s="174" t="n"/>
      <c r="I40" s="174" t="n"/>
      <c r="J40" s="174" t="n"/>
      <c r="K40" s="175">
        <f>SUM(C40:J40)</f>
        <v>700</v>
      </c>
    </row>
    <row r="41" ht="17.25" customHeight="1" s="82">
      <c r="A41" s="172" t="n"/>
      <c r="B41" s="176" t="inlineStr">
        <is>
          <t>염증</t>
        </is>
      </c>
      <c r="C41" s="174" t="n"/>
      <c r="D41" s="174" t="n"/>
      <c r="E41" s="181" t="n">
        <v>700</v>
      </c>
      <c r="F41" s="174" t="n"/>
      <c r="G41" s="174" t="n"/>
      <c r="H41" s="174" t="n"/>
      <c r="I41" s="174" t="n"/>
      <c r="J41" s="174" t="n"/>
      <c r="K41" s="175">
        <f>SUM(C41:J41)</f>
        <v>700</v>
      </c>
    </row>
    <row r="42" ht="16.5" customHeight="1" s="82">
      <c r="A42" s="172" t="n"/>
      <c r="B42" s="176" t="inlineStr">
        <is>
          <t>부정맥</t>
        </is>
      </c>
      <c r="C42" s="174" t="n"/>
      <c r="D42" s="174" t="n"/>
      <c r="E42" s="174" t="n"/>
      <c r="F42" s="174" t="n"/>
      <c r="G42" s="174" t="n"/>
      <c r="H42" s="174" t="n"/>
      <c r="I42" s="182" t="n">
        <v>300</v>
      </c>
      <c r="J42" s="174" t="n"/>
      <c r="K42" s="175">
        <f>SUM(C42:J42)</f>
        <v>300</v>
      </c>
    </row>
    <row r="43" ht="16.5" customHeight="1" s="82">
      <c r="A43" s="172" t="n"/>
      <c r="B43" s="176" t="inlineStr">
        <is>
          <t>심근병증</t>
        </is>
      </c>
      <c r="C43" s="184" t="n"/>
      <c r="D43" s="184" t="n"/>
      <c r="E43" s="184" t="n"/>
      <c r="F43" s="184" t="n"/>
      <c r="G43" s="184" t="n"/>
      <c r="H43" s="184" t="n"/>
      <c r="I43" s="184" t="n"/>
      <c r="J43" s="184" t="n"/>
      <c r="K43" s="175">
        <f>SUM(C43:J43)</f>
        <v>0</v>
      </c>
    </row>
    <row r="44" ht="17.25" customHeight="1" s="82">
      <c r="A44" s="172" t="n"/>
      <c r="B44" s="176" t="inlineStr">
        <is>
          <t>심장판막</t>
        </is>
      </c>
      <c r="C44" s="184" t="n"/>
      <c r="D44" s="184" t="n"/>
      <c r="E44" s="184" t="n"/>
      <c r="F44" s="184" t="n"/>
      <c r="G44" s="184" t="n"/>
      <c r="H44" s="184" t="n"/>
      <c r="I44" s="184" t="n"/>
      <c r="J44" s="184" t="n"/>
      <c r="K44" s="175">
        <f>SUM(C44:J44)</f>
        <v>0</v>
      </c>
    </row>
    <row r="45" ht="17.25" customHeight="1" s="82">
      <c r="A45" s="172" t="n"/>
      <c r="B45" s="176" t="inlineStr">
        <is>
          <t>산정특례심장</t>
        </is>
      </c>
      <c r="C45" s="174" t="n"/>
      <c r="D45" s="174" t="n"/>
      <c r="E45" s="174" t="n"/>
      <c r="F45" s="174" t="n"/>
      <c r="G45" s="174" t="n"/>
      <c r="H45" s="174" t="n"/>
      <c r="I45" s="174" t="n"/>
      <c r="J45" s="174" t="n"/>
      <c r="K45" s="175">
        <f>SUM(C45:J45)</f>
        <v>0</v>
      </c>
    </row>
    <row r="46" ht="16.5" customHeight="1" s="82">
      <c r="A46" s="172" t="n"/>
      <c r="B46" s="185" t="inlineStr">
        <is>
          <t>2대 주요치료비</t>
        </is>
      </c>
      <c r="C46" s="174" t="n"/>
      <c r="D46" s="174" t="n"/>
      <c r="E46" s="174" t="n"/>
      <c r="F46" s="174" t="n"/>
      <c r="G46" s="174" t="n"/>
      <c r="H46" s="174" t="n"/>
      <c r="I46" s="182" t="n">
        <v>1000</v>
      </c>
      <c r="J46" s="174" t="n"/>
      <c r="K46" s="175">
        <f>SUM(C46:J46)</f>
        <v>1000</v>
      </c>
    </row>
    <row r="47" ht="16.5" customHeight="1" s="82">
      <c r="A47" s="172" t="n"/>
      <c r="B47" s="185" t="inlineStr">
        <is>
          <t>허혈성 진단비</t>
        </is>
      </c>
      <c r="C47" s="174" t="n"/>
      <c r="D47" s="174" t="n"/>
      <c r="E47" s="174" t="n"/>
      <c r="F47" s="174" t="n"/>
      <c r="G47" s="174" t="n"/>
      <c r="H47" s="174" t="n"/>
      <c r="I47" s="174" t="n"/>
      <c r="J47" s="174" t="n"/>
      <c r="K47" s="175">
        <f>SUM(C47:J47)</f>
        <v>0</v>
      </c>
    </row>
    <row r="48" ht="16.5" customHeight="1" s="82">
      <c r="A48" s="172" t="n"/>
      <c r="B48" s="173" t="inlineStr">
        <is>
          <t>급성심근경색</t>
        </is>
      </c>
      <c r="C48" s="174" t="n"/>
      <c r="D48" s="174" t="n"/>
      <c r="E48" s="181" t="n">
        <v>1000</v>
      </c>
      <c r="F48" s="174" t="n"/>
      <c r="G48" s="174" t="n"/>
      <c r="H48" s="174" t="n"/>
      <c r="I48" s="174" t="n"/>
      <c r="J48" s="174" t="n"/>
      <c r="K48" s="175">
        <f>SUM(C48:J48)</f>
        <v>1000</v>
      </c>
    </row>
    <row r="49" ht="16.5" customHeight="1" s="82">
      <c r="A49" s="177" t="n"/>
      <c r="B49" s="186" t="inlineStr">
        <is>
          <t>중대한 급성심근</t>
        </is>
      </c>
      <c r="C49" s="179" t="n"/>
      <c r="D49" s="179" t="n"/>
      <c r="E49" s="179" t="n"/>
      <c r="F49" s="179" t="n"/>
      <c r="G49" s="179" t="n"/>
      <c r="H49" s="179" t="n"/>
      <c r="I49" s="179" t="n"/>
      <c r="J49" s="179" t="n"/>
      <c r="K49" s="163">
        <f>SUM(C49:J49)</f>
        <v>0</v>
      </c>
    </row>
    <row r="50" ht="16.5" customHeight="1" s="82">
      <c r="A50" s="180" t="inlineStr">
        <is>
          <t>일당</t>
        </is>
      </c>
      <c r="B50" s="176" t="inlineStr">
        <is>
          <t>혈전용해치료비</t>
        </is>
      </c>
      <c r="C50" s="174" t="n"/>
      <c r="D50" s="174" t="n"/>
      <c r="E50" s="174" t="n"/>
      <c r="F50" s="174" t="n"/>
      <c r="G50" s="174" t="n"/>
      <c r="H50" s="174" t="n"/>
      <c r="I50" s="174" t="n"/>
      <c r="J50" s="174" t="n"/>
      <c r="K50" s="175">
        <f>SUM(C50:J50)</f>
        <v>0</v>
      </c>
    </row>
    <row r="51" ht="16.5" customHeight="1" s="82">
      <c r="A51" s="172" t="n"/>
      <c r="B51" s="176" t="inlineStr">
        <is>
          <t>질병일당</t>
        </is>
      </c>
      <c r="C51" s="174" t="n"/>
      <c r="D51" s="174" t="n"/>
      <c r="E51" s="174" t="n"/>
      <c r="F51" s="174" t="n"/>
      <c r="G51" s="174" t="n"/>
      <c r="H51" s="174" t="n"/>
      <c r="I51" s="174" t="n"/>
      <c r="J51" s="174" t="n"/>
      <c r="K51" s="175">
        <f>SUM(C51:J51)</f>
        <v>0</v>
      </c>
    </row>
    <row r="52" ht="16.5" customHeight="1" s="82">
      <c r="A52" s="172" t="n"/>
      <c r="B52" s="176" t="inlineStr">
        <is>
          <t>질병수술일당</t>
        </is>
      </c>
      <c r="C52" s="174" t="n"/>
      <c r="D52" s="174" t="n"/>
      <c r="E52" s="174" t="n"/>
      <c r="F52" s="174" t="n"/>
      <c r="G52" s="174" t="n"/>
      <c r="H52" s="174" t="n"/>
      <c r="I52" s="174" t="n"/>
      <c r="J52" s="174" t="n"/>
      <c r="K52" s="175">
        <f>SUM(C52:J52)</f>
        <v>0</v>
      </c>
    </row>
    <row r="53" ht="16.5" customHeight="1" s="82">
      <c r="A53" s="172" t="n"/>
      <c r="B53" s="176" t="inlineStr">
        <is>
          <t>질병종합병원일당</t>
        </is>
      </c>
      <c r="C53" s="174" t="n"/>
      <c r="D53" s="174" t="n"/>
      <c r="E53" s="174" t="n"/>
      <c r="F53" s="174" t="n"/>
      <c r="G53" s="174" t="n"/>
      <c r="H53" s="174" t="n"/>
      <c r="I53" s="174" t="n"/>
      <c r="J53" s="174" t="n"/>
      <c r="K53" s="175">
        <f>SUM(C53:J53)</f>
        <v>0</v>
      </c>
    </row>
    <row r="54" ht="16.5" customHeight="1" s="82">
      <c r="A54" s="172" t="n"/>
      <c r="B54" s="176" t="inlineStr">
        <is>
          <t>상해일당</t>
        </is>
      </c>
      <c r="C54" s="174" t="n"/>
      <c r="D54" s="174" t="n"/>
      <c r="E54" s="174" t="n"/>
      <c r="F54" s="174" t="n"/>
      <c r="G54" s="174" t="n"/>
      <c r="H54" s="181" t="n">
        <v>2</v>
      </c>
      <c r="I54" s="174" t="n"/>
      <c r="J54" s="174" t="n"/>
      <c r="K54" s="175">
        <f>SUM(C54:J54)</f>
        <v>2</v>
      </c>
    </row>
    <row r="55" ht="16.5" customHeight="1" s="82">
      <c r="A55" s="172" t="n"/>
      <c r="B55" s="176" t="inlineStr">
        <is>
          <t>상해수술일당</t>
        </is>
      </c>
      <c r="C55" s="174" t="n"/>
      <c r="D55" s="174" t="n"/>
      <c r="E55" s="174" t="n"/>
      <c r="F55" s="174" t="n"/>
      <c r="G55" s="174" t="n"/>
      <c r="H55" s="174" t="n"/>
      <c r="I55" s="174" t="n"/>
      <c r="J55" s="174" t="n"/>
      <c r="K55" s="175">
        <f>SUM(C55:J55)</f>
        <v>0</v>
      </c>
    </row>
    <row r="56" ht="16.5" customHeight="1" s="82">
      <c r="A56" s="172" t="n"/>
      <c r="B56" s="176" t="inlineStr">
        <is>
          <t>간병인</t>
        </is>
      </c>
      <c r="C56" s="174" t="n"/>
      <c r="D56" s="181" t="n">
        <v>0</v>
      </c>
      <c r="E56" s="174" t="n"/>
      <c r="F56" s="174" t="n"/>
      <c r="G56" s="174" t="n"/>
      <c r="H56" s="174" t="n"/>
      <c r="I56" s="174" t="n"/>
      <c r="J56" s="174" t="n"/>
      <c r="K56" s="175">
        <f>IF(COUNT(C56:J56)=0,0,MAX(C56:J56))</f>
        <v>0</v>
      </c>
    </row>
    <row r="57" ht="16.5" customHeight="1" s="82">
      <c r="A57" s="172" t="n"/>
      <c r="B57" s="176" t="inlineStr">
        <is>
          <t>간병인지원일당</t>
        </is>
      </c>
      <c r="C57" s="174" t="n"/>
      <c r="D57" s="174" t="n"/>
      <c r="E57" s="174" t="n"/>
      <c r="F57" s="174" t="n"/>
      <c r="G57" s="174" t="n"/>
      <c r="H57" s="174" t="n"/>
      <c r="I57" s="174" t="n"/>
      <c r="J57" s="174" t="n"/>
      <c r="K57" s="175">
        <f>SUM(C57:J57)</f>
        <v>0</v>
      </c>
    </row>
    <row r="58" ht="16.5" customHeight="1" s="82">
      <c r="A58" s="172" t="n"/>
      <c r="B58" s="176" t="inlineStr">
        <is>
          <t>간호통합병동</t>
        </is>
      </c>
      <c r="C58" s="174" t="n"/>
      <c r="D58" s="174" t="n"/>
      <c r="E58" s="174" t="n"/>
      <c r="F58" s="174" t="n"/>
      <c r="G58" s="174" t="n"/>
      <c r="H58" s="174" t="n"/>
      <c r="I58" s="174" t="n"/>
      <c r="J58" s="174" t="n"/>
      <c r="K58" s="175">
        <f>IF(SUM(C58:J58)&gt;0,7,0)</f>
        <v>0</v>
      </c>
    </row>
    <row r="59" ht="16.5" customHeight="1" s="82">
      <c r="A59" s="172" t="n"/>
      <c r="B59" s="185" t="inlineStr">
        <is>
          <t>1인실 종합병원</t>
        </is>
      </c>
      <c r="C59" s="174" t="n"/>
      <c r="D59" s="174" t="n"/>
      <c r="E59" s="174" t="n"/>
      <c r="F59" s="174" t="n"/>
      <c r="G59" s="174" t="n"/>
      <c r="H59" s="174" t="n"/>
      <c r="I59" s="174" t="n"/>
      <c r="J59" s="174" t="n"/>
      <c r="K59" s="175">
        <f>SUM(C59:J59)</f>
        <v>0</v>
      </c>
    </row>
    <row r="60" ht="16.5" customHeight="1" s="82">
      <c r="A60" s="172" t="n"/>
      <c r="B60" s="185" t="inlineStr">
        <is>
          <t>1인실 상급병원</t>
        </is>
      </c>
      <c r="C60" s="174" t="n"/>
      <c r="D60" s="174" t="n"/>
      <c r="E60" s="174" t="n"/>
      <c r="F60" s="174" t="n"/>
      <c r="G60" s="174" t="n"/>
      <c r="H60" s="174" t="n"/>
      <c r="I60" s="174" t="n"/>
      <c r="J60" s="174" t="n"/>
      <c r="K60" s="175">
        <f>SUM(C60:J60)</f>
        <v>0</v>
      </c>
    </row>
    <row r="61" ht="16.5" customHeight="1" s="82">
      <c r="A61" s="172" t="n"/>
      <c r="B61" s="176" t="inlineStr">
        <is>
          <t>질병중환자실</t>
        </is>
      </c>
      <c r="C61" s="174" t="n"/>
      <c r="D61" s="174" t="n"/>
      <c r="E61" s="174" t="n"/>
      <c r="F61" s="174" t="n"/>
      <c r="G61" s="174" t="n"/>
      <c r="H61" s="174" t="n"/>
      <c r="I61" s="174" t="n"/>
      <c r="J61" s="174" t="n"/>
      <c r="K61" s="175">
        <f>SUM(C61:J61)</f>
        <v>0</v>
      </c>
    </row>
    <row r="62" ht="17.25" customHeight="1" s="82">
      <c r="A62" s="177" t="n"/>
      <c r="B62" s="178" t="inlineStr">
        <is>
          <t>상해중환자실</t>
        </is>
      </c>
      <c r="C62" s="179" t="n"/>
      <c r="D62" s="179" t="n"/>
      <c r="E62" s="179" t="n"/>
      <c r="F62" s="179" t="n"/>
      <c r="G62" s="179" t="n"/>
      <c r="H62" s="179" t="n"/>
      <c r="I62" s="179" t="n"/>
      <c r="J62" s="179" t="n"/>
      <c r="K62" s="163">
        <f>SUM(C62:J62)</f>
        <v>0</v>
      </c>
    </row>
    <row r="63" ht="17.25" customHeight="1" s="82">
      <c r="A63" s="180" t="inlineStr">
        <is>
          <t>수술</t>
        </is>
      </c>
      <c r="B63" s="176" t="inlineStr">
        <is>
          <t>상해수술비</t>
        </is>
      </c>
      <c r="C63" s="174" t="n"/>
      <c r="D63" s="174" t="n"/>
      <c r="E63" s="174" t="n"/>
      <c r="F63" s="181" t="n">
        <v>50</v>
      </c>
      <c r="G63" s="174" t="n"/>
      <c r="H63" s="174" t="n"/>
      <c r="I63" s="174" t="n"/>
      <c r="J63" s="174" t="n"/>
      <c r="K63" s="175">
        <f>SUM(C63:J63)</f>
        <v>50</v>
      </c>
    </row>
    <row r="64" ht="16.5" customHeight="1" s="82">
      <c r="A64" s="172" t="n"/>
      <c r="B64" s="176" t="inlineStr">
        <is>
          <t>중대한상해수술비</t>
        </is>
      </c>
      <c r="C64" s="174" t="n"/>
      <c r="D64" s="174" t="n"/>
      <c r="E64" s="174" t="n"/>
      <c r="F64" s="174" t="n"/>
      <c r="G64" s="174" t="n"/>
      <c r="H64" s="174" t="n"/>
      <c r="I64" s="174" t="n"/>
      <c r="J64" s="174" t="n"/>
      <c r="K64" s="175">
        <f>SUM(C64:J64)</f>
        <v>0</v>
      </c>
    </row>
    <row r="65" ht="16.5" customHeight="1" s="82">
      <c r="A65" s="172" t="n"/>
      <c r="B65" s="176" t="inlineStr">
        <is>
          <t>상해 종수술비(1-5종)</t>
        </is>
      </c>
      <c r="C65" s="174" t="n"/>
      <c r="D65" s="174" t="n"/>
      <c r="E65" s="174" t="n"/>
      <c r="F65" s="187" t="inlineStr">
        <is>
          <t>10/15/30/50/200</t>
        </is>
      </c>
      <c r="G65" s="174" t="n"/>
      <c r="H65" s="174" t="n"/>
      <c r="I65" s="174" t="n"/>
      <c r="J65" s="174" t="n"/>
      <c r="K65" s="188" t="inlineStr">
        <is>
          <t>10/15/30/50/200</t>
        </is>
      </c>
    </row>
    <row r="66" ht="16.5" customHeight="1" s="82">
      <c r="A66" s="172" t="n"/>
      <c r="B66" s="176" t="inlineStr">
        <is>
          <t>상해 종수술비(1-8종)</t>
        </is>
      </c>
      <c r="C66" s="174" t="n"/>
      <c r="D66" s="174" t="n"/>
      <c r="E66" s="174" t="n"/>
      <c r="F66" s="183" t="n"/>
      <c r="G66" s="174" t="n"/>
      <c r="H66" s="174" t="n"/>
      <c r="I66" s="174" t="n"/>
      <c r="J66" s="174" t="n"/>
      <c r="K66" s="175">
        <f>SUM(C66:J66)</f>
        <v>0</v>
      </c>
    </row>
    <row r="67" ht="16.5" customHeight="1" s="82">
      <c r="A67" s="172" t="n"/>
      <c r="B67" s="176" t="inlineStr">
        <is>
          <t>창상봉합술</t>
        </is>
      </c>
      <c r="C67" s="174" t="n"/>
      <c r="D67" s="174" t="n"/>
      <c r="E67" s="174" t="n"/>
      <c r="F67" s="181" t="n">
        <v>100</v>
      </c>
      <c r="G67" s="174" t="n"/>
      <c r="H67" s="174" t="n"/>
      <c r="I67" s="174" t="n"/>
      <c r="J67" s="174" t="n"/>
      <c r="K67" s="175">
        <f>SUM(C67:J67)</f>
        <v>100</v>
      </c>
    </row>
    <row r="68" ht="17.25" customHeight="1" s="82">
      <c r="A68" s="172" t="n"/>
      <c r="B68" s="176" t="inlineStr">
        <is>
          <t>골절수술비</t>
        </is>
      </c>
      <c r="C68" s="174" t="n"/>
      <c r="D68" s="174" t="n"/>
      <c r="E68" s="174" t="n"/>
      <c r="F68" s="181" t="n">
        <v>60</v>
      </c>
      <c r="G68" s="174" t="n"/>
      <c r="H68" s="174" t="n"/>
      <c r="I68" s="174" t="n"/>
      <c r="J68" s="174" t="n"/>
      <c r="K68" s="175">
        <f>SUM(C68:J68)</f>
        <v>60</v>
      </c>
    </row>
    <row r="69" ht="16.5" customHeight="1" s="82">
      <c r="A69" s="172" t="n"/>
      <c r="B69" s="185" t="inlineStr">
        <is>
          <t>5대골절수술비</t>
        </is>
      </c>
      <c r="C69" s="174" t="n"/>
      <c r="D69" s="174" t="n"/>
      <c r="E69" s="174" t="n"/>
      <c r="F69" s="181" t="n">
        <v>50</v>
      </c>
      <c r="G69" s="174" t="n"/>
      <c r="H69" s="174" t="n"/>
      <c r="I69" s="174" t="n"/>
      <c r="J69" s="174" t="n"/>
      <c r="K69" s="175">
        <f>SUM(C69:J69)</f>
        <v>50</v>
      </c>
    </row>
    <row r="70" ht="16.5" customHeight="1" s="82">
      <c r="A70" s="172" t="n"/>
      <c r="B70" s="176" t="inlineStr">
        <is>
          <t>화상수술비</t>
        </is>
      </c>
      <c r="C70" s="174" t="n"/>
      <c r="D70" s="174" t="n"/>
      <c r="E70" s="174" t="n"/>
      <c r="F70" s="181" t="n">
        <v>30</v>
      </c>
      <c r="G70" s="174" t="n"/>
      <c r="H70" s="174" t="n"/>
      <c r="I70" s="174" t="n"/>
      <c r="J70" s="174" t="n"/>
      <c r="K70" s="175">
        <f>SUM(C70:J70)</f>
        <v>30</v>
      </c>
    </row>
    <row r="71" ht="16.5" customHeight="1" s="82">
      <c r="A71" s="189" t="n"/>
      <c r="B71" s="190" t="inlineStr">
        <is>
          <t>질병수술비</t>
        </is>
      </c>
      <c r="C71" s="170" t="n"/>
      <c r="D71" s="170" t="n"/>
      <c r="E71" s="170" t="n"/>
      <c r="F71" s="169" t="n">
        <v>30</v>
      </c>
      <c r="G71" s="170" t="n"/>
      <c r="H71" s="170" t="n"/>
      <c r="I71" s="191" t="n"/>
      <c r="J71" s="170" t="n"/>
      <c r="K71" s="171">
        <f>SUM(C71:J71)</f>
        <v>30</v>
      </c>
    </row>
    <row r="72" ht="16.5" customHeight="1" s="82">
      <c r="A72" s="172" t="n"/>
      <c r="B72" s="176" t="inlineStr">
        <is>
          <t>질병 종수술비(1-5종)</t>
        </is>
      </c>
      <c r="C72" s="174" t="n"/>
      <c r="D72" s="187" t="inlineStr">
        <is>
          <t>20/20/100/500/1000</t>
        </is>
      </c>
      <c r="E72" s="174" t="n"/>
      <c r="F72" s="183" t="n"/>
      <c r="G72" s="174" t="n"/>
      <c r="H72" s="174" t="n"/>
      <c r="I72" s="174" t="n"/>
      <c r="J72" s="174" t="n"/>
      <c r="K72" s="188" t="inlineStr">
        <is>
          <t>20/20/100/500/1000</t>
        </is>
      </c>
    </row>
    <row r="73" ht="16.5" customHeight="1" s="82">
      <c r="A73" s="172" t="n"/>
      <c r="B73" s="176" t="inlineStr">
        <is>
          <t>질병 종수술비(1-8종)</t>
        </is>
      </c>
      <c r="C73" s="174" t="n"/>
      <c r="D73" s="174" t="n"/>
      <c r="E73" s="174" t="n"/>
      <c r="F73" s="183" t="n"/>
      <c r="G73" s="174" t="n"/>
      <c r="H73" s="174" t="n"/>
      <c r="I73" s="174" t="n"/>
      <c r="J73" s="174" t="n"/>
      <c r="K73" s="175">
        <f>SUM(C73:J73)</f>
        <v>0</v>
      </c>
    </row>
    <row r="74" ht="16.5" customHeight="1" s="82">
      <c r="A74" s="172" t="n"/>
      <c r="B74" s="176" t="inlineStr">
        <is>
          <t>뇌혈관수술비</t>
        </is>
      </c>
      <c r="C74" s="174" t="n"/>
      <c r="D74" s="174" t="n"/>
      <c r="E74" s="174" t="n"/>
      <c r="F74" s="174" t="n"/>
      <c r="G74" s="174" t="n"/>
      <c r="H74" s="174" t="n"/>
      <c r="I74" s="174" t="n"/>
      <c r="J74" s="174" t="n"/>
      <c r="K74" s="175">
        <f>SUM(C74:J74)</f>
        <v>0</v>
      </c>
    </row>
    <row r="75" ht="16.5" customHeight="1" s="82">
      <c r="A75" s="172" t="n"/>
      <c r="B75" s="176" t="inlineStr">
        <is>
          <t>허혈성수술비</t>
        </is>
      </c>
      <c r="C75" s="174" t="n"/>
      <c r="D75" s="174" t="n"/>
      <c r="E75" s="174" t="n"/>
      <c r="F75" s="174" t="n"/>
      <c r="G75" s="174" t="n"/>
      <c r="H75" s="174" t="n"/>
      <c r="I75" s="174" t="n"/>
      <c r="J75" s="174" t="n"/>
      <c r="K75" s="175">
        <f>SUM(C75:J75)</f>
        <v>0</v>
      </c>
    </row>
    <row r="76" ht="17.25" customHeight="1" s="82">
      <c r="A76" s="172" t="n"/>
      <c r="B76" s="176" t="inlineStr">
        <is>
          <t>심장수술비</t>
        </is>
      </c>
      <c r="C76" s="174" t="n"/>
      <c r="D76" s="174" t="n"/>
      <c r="E76" s="174" t="n"/>
      <c r="F76" s="174" t="n"/>
      <c r="G76" s="174" t="n"/>
      <c r="H76" s="174" t="n"/>
      <c r="I76" s="174" t="n"/>
      <c r="J76" s="174" t="n"/>
      <c r="K76" s="175">
        <f>SUM(C76:J76)</f>
        <v>0</v>
      </c>
    </row>
    <row r="77" ht="16.5" customHeight="1" s="82">
      <c r="A77" s="172" t="n"/>
      <c r="B77" s="185" t="inlineStr">
        <is>
          <t>120대수술비</t>
        </is>
      </c>
      <c r="C77" s="174" t="n"/>
      <c r="D77" s="174" t="n"/>
      <c r="E77" s="174" t="n"/>
      <c r="F77" s="174" t="n"/>
      <c r="G77" s="174" t="n"/>
      <c r="H77" s="174" t="n"/>
      <c r="I77" s="174" t="n"/>
      <c r="J77" s="174" t="n"/>
      <c r="K77" s="175">
        <f>SUM(C77:J77)</f>
        <v>0</v>
      </c>
    </row>
    <row r="78" ht="16.5" customHeight="1" s="82">
      <c r="A78" s="172" t="n"/>
      <c r="B78" s="185" t="inlineStr">
        <is>
          <t>5대기관 수술비 관혈</t>
        </is>
      </c>
      <c r="C78" s="174" t="n"/>
      <c r="D78" s="174" t="n"/>
      <c r="E78" s="174" t="n"/>
      <c r="F78" s="174" t="n"/>
      <c r="G78" s="174" t="n"/>
      <c r="H78" s="174" t="n"/>
      <c r="I78" s="174" t="n"/>
      <c r="J78" s="174" t="n"/>
      <c r="K78" s="175">
        <f>SUM(C78:J78)</f>
        <v>0</v>
      </c>
    </row>
    <row r="79" ht="17.25" customHeight="1" s="82">
      <c r="A79" s="177" t="n"/>
      <c r="B79" s="192" t="inlineStr">
        <is>
          <t>5대기관 수술비 비관혈</t>
        </is>
      </c>
      <c r="C79" s="179" t="n"/>
      <c r="D79" s="179" t="n"/>
      <c r="E79" s="179" t="n"/>
      <c r="F79" s="179" t="n"/>
      <c r="G79" s="179" t="n"/>
      <c r="H79" s="179" t="n"/>
      <c r="I79" s="179" t="n"/>
      <c r="J79" s="179" t="n"/>
      <c r="K79" s="163">
        <f>SUM(C79:J79)</f>
        <v>0</v>
      </c>
    </row>
    <row r="80" ht="17.25" customHeight="1" s="82">
      <c r="A80" s="180" t="inlineStr">
        <is>
          <t>운전</t>
        </is>
      </c>
      <c r="B80" s="176" t="inlineStr">
        <is>
          <t>대인</t>
        </is>
      </c>
      <c r="C80" s="174" t="n"/>
      <c r="D80" s="174" t="n"/>
      <c r="E80" s="174" t="n"/>
      <c r="F80" s="174" t="n"/>
      <c r="G80" s="174" t="n"/>
      <c r="H80" s="181" t="n">
        <v>3000</v>
      </c>
      <c r="I80" s="174" t="n"/>
      <c r="J80" s="174" t="n"/>
      <c r="K80" s="175">
        <f>SUM(C80:J80)</f>
        <v>3000</v>
      </c>
    </row>
    <row r="81" ht="17.25" customHeight="1" s="82">
      <c r="A81" s="172" t="n"/>
      <c r="B81" s="176" t="inlineStr">
        <is>
          <t>대물</t>
        </is>
      </c>
      <c r="C81" s="174" t="n"/>
      <c r="D81" s="174" t="n"/>
      <c r="E81" s="174" t="n"/>
      <c r="F81" s="174" t="n"/>
      <c r="G81" s="174" t="n"/>
      <c r="H81" s="181" t="n">
        <v>500</v>
      </c>
      <c r="I81" s="174" t="n"/>
      <c r="J81" s="174" t="n"/>
      <c r="K81" s="175">
        <f>SUM(C81:J81)</f>
        <v>500</v>
      </c>
    </row>
    <row r="82" ht="16.5" customHeight="1" s="82">
      <c r="A82" s="172" t="n"/>
      <c r="B82" s="176" t="inlineStr">
        <is>
          <t>합의금</t>
        </is>
      </c>
      <c r="C82" s="174" t="n"/>
      <c r="D82" s="174" t="n"/>
      <c r="E82" s="174" t="n"/>
      <c r="F82" s="174" t="n"/>
      <c r="G82" s="174" t="n"/>
      <c r="H82" s="181" t="n">
        <v>20000</v>
      </c>
      <c r="I82" s="174" t="n"/>
      <c r="J82" s="174" t="n"/>
      <c r="K82" s="175">
        <f>SUM(C82:J82)</f>
        <v>20000</v>
      </c>
    </row>
    <row r="83" ht="17.25" customHeight="1" s="82">
      <c r="A83" s="172" t="n"/>
      <c r="B83" s="185" t="inlineStr">
        <is>
          <t>6주미만</t>
        </is>
      </c>
      <c r="C83" s="174" t="n"/>
      <c r="D83" s="174" t="n"/>
      <c r="E83" s="174" t="n"/>
      <c r="F83" s="174" t="n"/>
      <c r="G83" s="174" t="n"/>
      <c r="H83" s="181" t="n">
        <v>1000</v>
      </c>
      <c r="I83" s="174" t="n"/>
      <c r="J83" s="174" t="n"/>
      <c r="K83" s="175">
        <f>SUM(C83:J83)</f>
        <v>1000</v>
      </c>
    </row>
    <row r="84" ht="16.5" customHeight="1" s="82">
      <c r="A84" s="172" t="n"/>
      <c r="B84" s="176" t="inlineStr">
        <is>
          <t>변호사</t>
        </is>
      </c>
      <c r="C84" s="174" t="n"/>
      <c r="D84" s="174" t="n"/>
      <c r="E84" s="174" t="n"/>
      <c r="F84" s="174" t="n"/>
      <c r="G84" s="174" t="n"/>
      <c r="H84" s="174" t="n"/>
      <c r="I84" s="174" t="n"/>
      <c r="J84" s="174" t="n"/>
      <c r="K84" s="175">
        <f>SUM(C84:J84)</f>
        <v>0</v>
      </c>
    </row>
    <row r="85" ht="17.25" customHeight="1" s="82">
      <c r="A85" s="177" t="n"/>
      <c r="B85" s="178" t="inlineStr">
        <is>
          <t>자부상</t>
        </is>
      </c>
      <c r="C85" s="179" t="n"/>
      <c r="D85" s="179" t="n"/>
      <c r="E85" s="179" t="n"/>
      <c r="F85" s="160" t="n">
        <v>20</v>
      </c>
      <c r="G85" s="179" t="n"/>
      <c r="H85" s="160" t="n">
        <v>10</v>
      </c>
      <c r="I85" s="179" t="n"/>
      <c r="J85" s="179" t="n"/>
      <c r="K85" s="163">
        <f>MIN(SUM(C85:J85),80)</f>
        <v>30</v>
      </c>
    </row>
    <row r="86" ht="16.5" customHeight="1" s="82">
      <c r="A86" s="180" t="inlineStr">
        <is>
          <t>골절</t>
        </is>
      </c>
      <c r="B86" s="176" t="inlineStr">
        <is>
          <t>골절(치아파절포함)</t>
        </is>
      </c>
      <c r="C86" s="174" t="n"/>
      <c r="D86" s="174" t="n"/>
      <c r="E86" s="174" t="n"/>
      <c r="F86" s="181" t="n">
        <v>20</v>
      </c>
      <c r="G86" s="174" t="n"/>
      <c r="H86" s="174" t="n"/>
      <c r="I86" s="174" t="n"/>
      <c r="J86" s="174" t="n"/>
      <c r="K86" s="175">
        <f>SUM(C86:J86)</f>
        <v>20</v>
      </c>
    </row>
    <row r="87" ht="16.5" customHeight="1" s="82">
      <c r="A87" s="172" t="n"/>
      <c r="B87" s="176" t="inlineStr">
        <is>
          <t>골절(치아파절제외)</t>
        </is>
      </c>
      <c r="C87" s="174" t="n"/>
      <c r="D87" s="174" t="n"/>
      <c r="E87" s="174" t="n"/>
      <c r="F87" s="174" t="n"/>
      <c r="G87" s="174" t="n"/>
      <c r="H87" s="174" t="n"/>
      <c r="I87" s="174" t="n"/>
      <c r="J87" s="174" t="n"/>
      <c r="K87" s="175">
        <f>SUM(C87:J87)</f>
        <v>0</v>
      </c>
    </row>
    <row r="88" ht="17.25" customHeight="1" s="82">
      <c r="A88" s="177" t="n"/>
      <c r="B88" s="192" t="inlineStr">
        <is>
          <t>5대골절진단비</t>
        </is>
      </c>
      <c r="C88" s="179" t="n"/>
      <c r="D88" s="179" t="n"/>
      <c r="E88" s="179" t="n"/>
      <c r="F88" s="160" t="n">
        <v>50</v>
      </c>
      <c r="G88" s="179" t="n"/>
      <c r="H88" s="179" t="n"/>
      <c r="I88" s="179" t="n"/>
      <c r="J88" s="179" t="n"/>
      <c r="K88" s="163">
        <f>SUM(C88:J88)</f>
        <v>50</v>
      </c>
    </row>
    <row r="89" ht="17.25" customHeight="1" s="82">
      <c r="A89" s="193" t="inlineStr">
        <is>
          <t>응급실</t>
        </is>
      </c>
      <c r="B89" s="178" t="inlineStr">
        <is>
          <t>응급실(응급)</t>
        </is>
      </c>
      <c r="C89" s="179" t="n"/>
      <c r="D89" s="179" t="n"/>
      <c r="E89" s="179" t="n"/>
      <c r="F89" s="179" t="n"/>
      <c r="G89" s="179" t="n"/>
      <c r="H89" s="179" t="n"/>
      <c r="I89" s="179" t="n"/>
      <c r="J89" s="179" t="n"/>
      <c r="K89" s="163">
        <f>SUM(C89:J89)</f>
        <v>0</v>
      </c>
    </row>
    <row r="90">
      <c r="A90" s="193" t="inlineStr">
        <is>
          <t>독감</t>
        </is>
      </c>
      <c r="B90" s="178" t="inlineStr">
        <is>
          <t>독감</t>
        </is>
      </c>
      <c r="C90" s="179" t="n"/>
      <c r="D90" s="179" t="n"/>
      <c r="E90" s="179" t="n"/>
      <c r="F90" s="179" t="n"/>
      <c r="G90" s="179" t="n"/>
      <c r="H90" s="179" t="n"/>
      <c r="I90" s="179" t="n"/>
      <c r="J90" s="179" t="n"/>
      <c r="K90" s="163">
        <f>SUM(C90:J90)</f>
        <v>0</v>
      </c>
    </row>
    <row r="91">
      <c r="A91" s="180" t="inlineStr">
        <is>
          <t>화상</t>
        </is>
      </c>
      <c r="B91" s="176" t="inlineStr">
        <is>
          <t>화상진단비</t>
        </is>
      </c>
      <c r="C91" s="174" t="n"/>
      <c r="D91" s="174" t="n"/>
      <c r="E91" s="174" t="n"/>
      <c r="F91" s="181" t="n">
        <v>10</v>
      </c>
      <c r="G91" s="174" t="n"/>
      <c r="H91" s="174" t="n"/>
      <c r="I91" s="174" t="n"/>
      <c r="J91" s="174" t="n"/>
      <c r="K91" s="175">
        <f>SUM(C91:J91)</f>
        <v>10</v>
      </c>
    </row>
    <row r="92">
      <c r="A92" s="177" t="n"/>
      <c r="B92" s="178" t="inlineStr">
        <is>
          <t>중증화상진단비</t>
        </is>
      </c>
      <c r="C92" s="179" t="n"/>
      <c r="D92" s="179" t="n"/>
      <c r="E92" s="179" t="n"/>
      <c r="F92" s="160" t="n">
        <v>2000</v>
      </c>
      <c r="G92" s="179" t="n"/>
      <c r="H92" s="179" t="n"/>
      <c r="I92" s="179" t="n"/>
      <c r="J92" s="179" t="n"/>
      <c r="K92" s="163">
        <f>SUM(C92:J92)</f>
        <v>2000</v>
      </c>
    </row>
    <row r="93">
      <c r="A93" s="180" t="inlineStr">
        <is>
          <t>깁스</t>
        </is>
      </c>
      <c r="B93" s="176" t="inlineStr">
        <is>
          <t>반깁스</t>
        </is>
      </c>
      <c r="C93" s="174" t="n"/>
      <c r="D93" s="174" t="n"/>
      <c r="E93" s="174" t="n"/>
      <c r="F93" s="181" t="n">
        <v>10</v>
      </c>
      <c r="G93" s="174" t="n"/>
      <c r="H93" s="174" t="n"/>
      <c r="I93" s="174" t="n"/>
      <c r="J93" s="174" t="n"/>
      <c r="K93" s="175">
        <f>SUM(C93:J93)</f>
        <v>10</v>
      </c>
    </row>
    <row r="94">
      <c r="A94" s="177" t="n"/>
      <c r="B94" s="178" t="inlineStr">
        <is>
          <t>깁스진단비</t>
        </is>
      </c>
      <c r="C94" s="179" t="n"/>
      <c r="D94" s="179" t="n"/>
      <c r="E94" s="179" t="n"/>
      <c r="F94" s="160" t="n">
        <v>50</v>
      </c>
      <c r="G94" s="179" t="n"/>
      <c r="H94" s="179" t="n"/>
      <c r="I94" s="179" t="n"/>
      <c r="J94" s="179" t="n"/>
      <c r="K94" s="163">
        <f>SUM(C94:J94)</f>
        <v>50</v>
      </c>
    </row>
    <row r="95" s="82">
      <c r="A95" s="180" t="inlineStr">
        <is>
          <t>실손</t>
        </is>
      </c>
      <c r="B95" s="176" t="inlineStr">
        <is>
          <t>입원</t>
        </is>
      </c>
      <c r="C95" s="183" t="n"/>
      <c r="D95" s="183" t="n"/>
      <c r="E95" s="183" t="n"/>
      <c r="F95" s="183" t="n"/>
      <c r="G95" s="181" t="n">
        <v>5000</v>
      </c>
      <c r="H95" s="183" t="n"/>
      <c r="I95" s="183" t="n"/>
      <c r="J95" s="174" t="n"/>
      <c r="K95" s="175">
        <f>MIN(SUM(C95:J95),5000)</f>
        <v>5000</v>
      </c>
    </row>
    <row r="96" s="82">
      <c r="A96" s="172" t="n"/>
      <c r="B96" s="176" t="inlineStr">
        <is>
          <t>통원</t>
        </is>
      </c>
      <c r="C96" s="183" t="n"/>
      <c r="D96" s="183" t="n"/>
      <c r="E96" s="183" t="n"/>
      <c r="F96" s="183" t="n"/>
      <c r="G96" s="181" t="n">
        <v>20</v>
      </c>
      <c r="H96" s="183" t="n"/>
      <c r="I96" s="183" t="n"/>
      <c r="J96" s="174" t="n"/>
      <c r="K96" s="175">
        <f>SUM(C96:J96)</f>
        <v>20</v>
      </c>
    </row>
    <row r="97">
      <c r="A97" s="172" t="n"/>
      <c r="B97" s="176" t="inlineStr">
        <is>
          <t>약값</t>
        </is>
      </c>
      <c r="C97" s="174" t="n"/>
      <c r="D97" s="174" t="n"/>
      <c r="E97" s="174" t="n"/>
      <c r="F97" s="174" t="n"/>
      <c r="G97" s="174" t="n"/>
      <c r="H97" s="174" t="n"/>
      <c r="I97" s="183" t="n"/>
      <c r="J97" s="174" t="n"/>
      <c r="K97" s="175">
        <f>SUM(C97:J97)</f>
        <v>0</v>
      </c>
    </row>
    <row r="98">
      <c r="A98" s="177" t="n"/>
      <c r="B98" s="178" t="inlineStr">
        <is>
          <t>MRI/도수치료/비급여주사</t>
        </is>
      </c>
      <c r="C98" s="179" t="n"/>
      <c r="D98" s="179" t="n"/>
      <c r="E98" s="179" t="n"/>
      <c r="F98" s="165" t="inlineStr">
        <is>
          <t>10/30/0</t>
        </is>
      </c>
      <c r="G98" s="179" t="n"/>
      <c r="H98" s="179" t="n"/>
      <c r="I98" s="194" t="n"/>
      <c r="J98" s="179" t="n"/>
      <c r="K98" s="195" t="inlineStr">
        <is>
          <t>10/30/0</t>
        </is>
      </c>
    </row>
    <row r="99">
      <c r="A99" s="193" t="inlineStr">
        <is>
          <t>일배책</t>
        </is>
      </c>
      <c r="B99" s="178" t="inlineStr">
        <is>
          <t>일상배상책임</t>
        </is>
      </c>
      <c r="C99" s="194" t="n"/>
      <c r="D99" s="194" t="n"/>
      <c r="E99" s="194" t="n"/>
      <c r="F99" s="160" t="n">
        <v>10000</v>
      </c>
      <c r="G99" s="194" t="n"/>
      <c r="H99" s="194" t="n"/>
      <c r="I99" s="194" t="n"/>
      <c r="J99" s="179" t="n"/>
      <c r="K99" s="163">
        <f>SUM(C99:J99)</f>
        <v>10000</v>
      </c>
    </row>
  </sheetData>
  <mergeCells count="17">
    <mergeCell ref="A30:A37"/>
    <mergeCell ref="A63:A79"/>
    <mergeCell ref="A93:A94"/>
    <mergeCell ref="A4:B4"/>
    <mergeCell ref="A2:B2"/>
    <mergeCell ref="A15:A29"/>
    <mergeCell ref="A50:A62"/>
    <mergeCell ref="A5:B5"/>
    <mergeCell ref="A38:A49"/>
    <mergeCell ref="A86:A88"/>
    <mergeCell ref="A11:A14"/>
    <mergeCell ref="A91:A92"/>
    <mergeCell ref="A1:B1"/>
    <mergeCell ref="A95:A98"/>
    <mergeCell ref="A3:B3"/>
    <mergeCell ref="A80:A85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김선우 · 자동분석 2026.07.02</t>
        </is>
      </c>
    </row>
    <row r="3">
      <c r="A3" t="inlineStr">
        <is>
          <t>계약수</t>
        </is>
      </c>
      <c r="B3" t="n">
        <v>8</v>
      </c>
    </row>
    <row r="4">
      <c r="A4" t="inlineStr">
        <is>
          <t>월보험료합계</t>
        </is>
      </c>
      <c r="B4" t="inlineStr">
        <is>
          <t>426,286원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NH농협생명</t>
        </is>
      </c>
      <c r="B8" t="inlineStr">
        <is>
          <t>고액항암치료비</t>
        </is>
      </c>
      <c r="C8" t="n">
        <v>300</v>
      </c>
      <c r="D8" t="inlineStr"/>
      <c r="E8" s="196" t="inlineStr">
        <is>
          <t>🔗약관검색</t>
        </is>
      </c>
    </row>
    <row r="9">
      <c r="A9" t="inlineStr">
        <is>
          <t>NH농협생명</t>
        </is>
      </c>
      <c r="B9" t="inlineStr">
        <is>
          <t>기타 인보험 (정액)담보</t>
        </is>
      </c>
      <c r="C9" t="n">
        <v>4000</v>
      </c>
      <c r="D9" t="inlineStr"/>
      <c r="E9" s="196" t="inlineStr">
        <is>
          <t>🔗약관검색</t>
        </is>
      </c>
    </row>
    <row r="10">
      <c r="A10" t="inlineStr">
        <is>
          <t>KB손보</t>
        </is>
      </c>
      <c r="B10" t="inlineStr">
        <is>
          <t>보험료납입면제대상보장(5대기본)(간편가입)(갱신형)</t>
        </is>
      </c>
      <c r="C10" t="n">
        <v>10</v>
      </c>
      <c r="D10" t="inlineStr"/>
      <c r="E10" s="196" t="inlineStr">
        <is>
          <t>🔗약관검색</t>
        </is>
      </c>
    </row>
    <row r="11">
      <c r="A11" t="inlineStr">
        <is>
          <t>KB손보</t>
        </is>
      </c>
      <c r="B11" t="inlineStr">
        <is>
          <t>보험료납입면제대상보장(5대기본)(간편가입)(갱신형)</t>
        </is>
      </c>
      <c r="C11" t="n">
        <v>10</v>
      </c>
      <c r="D11" t="inlineStr"/>
      <c r="E11" s="196" t="inlineStr">
        <is>
          <t>🔗약관검색</t>
        </is>
      </c>
    </row>
    <row r="12">
      <c r="A12" t="inlineStr">
        <is>
          <t>KB손보</t>
        </is>
      </c>
      <c r="B12" t="inlineStr">
        <is>
          <t>관절통증주사치료비(급여, 1일1회한, 연간5회한)</t>
        </is>
      </c>
      <c r="C12" t="n">
        <v>3</v>
      </c>
      <c r="D12" t="inlineStr"/>
      <c r="E12" s="196" t="inlineStr">
        <is>
          <t>🔗약관검색</t>
        </is>
      </c>
    </row>
    <row r="13">
      <c r="A13" t="inlineStr">
        <is>
          <t>KB손보</t>
        </is>
      </c>
      <c r="B13" t="inlineStr">
        <is>
          <t>기후성질환진단비(연간1회한)</t>
        </is>
      </c>
      <c r="C13" t="n">
        <v>10</v>
      </c>
      <c r="D13" t="inlineStr"/>
      <c r="E13" s="196" t="inlineStr">
        <is>
          <t>🔗약관검색</t>
        </is>
      </c>
    </row>
    <row r="14">
      <c r="A14" t="inlineStr">
        <is>
          <t>KB손보</t>
        </is>
      </c>
      <c r="B14" t="inlineStr">
        <is>
          <t>내측상과염(골프엘보우) 진단비</t>
        </is>
      </c>
      <c r="C14" t="n">
        <v>10</v>
      </c>
      <c r="D14" t="inlineStr"/>
      <c r="E14" s="196" t="inlineStr">
        <is>
          <t>🔗약관검색</t>
        </is>
      </c>
    </row>
    <row r="15">
      <c r="A15" t="inlineStr">
        <is>
          <t>KB손보</t>
        </is>
      </c>
      <c r="B15" t="inlineStr">
        <is>
          <t>독액성동물접촉중독진단비(연간1회한)</t>
        </is>
      </c>
      <c r="C15" t="n">
        <v>20</v>
      </c>
      <c r="D15" t="inlineStr"/>
      <c r="E15" s="196" t="inlineStr">
        <is>
          <t>🔗약관검색</t>
        </is>
      </c>
    </row>
    <row r="16">
      <c r="A16" t="inlineStr">
        <is>
          <t>KB손보</t>
        </is>
      </c>
      <c r="B16" t="inlineStr">
        <is>
          <t>상해사고부상보장Ⅰ</t>
        </is>
      </c>
      <c r="C16" t="n">
        <v>300</v>
      </c>
      <c r="D16" t="inlineStr"/>
      <c r="E16" s="196" t="inlineStr">
        <is>
          <t>🔗약관검색</t>
        </is>
      </c>
    </row>
    <row r="17">
      <c r="A17" t="inlineStr">
        <is>
          <t>KB손보</t>
        </is>
      </c>
      <c r="B17" t="inlineStr">
        <is>
          <t>외측상과염(테니스엘보우) 진단비</t>
        </is>
      </c>
      <c r="C17" t="n">
        <v>10</v>
      </c>
      <c r="D17" t="inlineStr"/>
      <c r="E17" s="196" t="inlineStr">
        <is>
          <t>🔗약관검색</t>
        </is>
      </c>
    </row>
    <row r="18">
      <c r="A18" t="inlineStr">
        <is>
          <t>KB손보</t>
        </is>
      </c>
      <c r="B18" t="inlineStr">
        <is>
          <t>주요다리근육염증진단비</t>
        </is>
      </c>
      <c r="C18" t="n">
        <v>10</v>
      </c>
      <c r="D18" t="inlineStr"/>
      <c r="E18" s="196" t="inlineStr">
        <is>
          <t>🔗약관검색</t>
        </is>
      </c>
    </row>
    <row r="19">
      <c r="A19" t="inlineStr">
        <is>
          <t>KB손보</t>
        </is>
      </c>
      <c r="B19" t="inlineStr">
        <is>
          <t>주요팔근육염증진단비</t>
        </is>
      </c>
      <c r="C19" t="n">
        <v>10</v>
      </c>
      <c r="D19" t="inlineStr"/>
      <c r="E19" s="196" t="inlineStr">
        <is>
          <t>🔗약관검색</t>
        </is>
      </c>
    </row>
    <row r="20">
      <c r="A20" t="inlineStr">
        <is>
          <t>KB손보</t>
        </is>
      </c>
      <c r="B20" t="inlineStr">
        <is>
          <t>특정법정감염병진단비</t>
        </is>
      </c>
      <c r="C20" t="n">
        <v>30</v>
      </c>
      <c r="D20" t="inlineStr"/>
      <c r="E20" s="196" t="inlineStr">
        <is>
          <t>🔗약관검색</t>
        </is>
      </c>
    </row>
    <row r="21">
      <c r="A21" t="inlineStr">
        <is>
          <t>KB손보</t>
        </is>
      </c>
      <c r="B21" t="inlineStr">
        <is>
          <t>상해CT검사비(급여, 연간1회한)</t>
        </is>
      </c>
      <c r="C21" t="n">
        <v>5</v>
      </c>
      <c r="D21" t="inlineStr"/>
      <c r="E21" s="196" t="inlineStr">
        <is>
          <t>🔗약관검색</t>
        </is>
      </c>
    </row>
    <row r="22">
      <c r="A22" t="inlineStr">
        <is>
          <t>KB손보</t>
        </is>
      </c>
      <c r="B22" t="inlineStr">
        <is>
          <t>상해사고부상보장Ⅱ</t>
        </is>
      </c>
      <c r="C22" t="n">
        <v>30</v>
      </c>
      <c r="D22" t="inlineStr"/>
      <c r="E22" s="196" t="inlineStr">
        <is>
          <t>🔗약관검색</t>
        </is>
      </c>
    </row>
    <row r="23">
      <c r="A23" t="inlineStr">
        <is>
          <t>KB손보</t>
        </is>
      </c>
      <c r="B23" t="inlineStr">
        <is>
          <t>상해사고부상보장Ⅲ</t>
        </is>
      </c>
      <c r="C23" t="n">
        <v>5</v>
      </c>
      <c r="D23" t="inlineStr"/>
      <c r="E23" s="196" t="inlineStr">
        <is>
          <t>🔗약관검색</t>
        </is>
      </c>
    </row>
    <row r="24">
      <c r="A24" t="inlineStr">
        <is>
          <t>KB손보</t>
        </is>
      </c>
      <c r="B24" t="inlineStr">
        <is>
          <t>외상성특정뇌손상 진단비</t>
        </is>
      </c>
      <c r="C24" t="n">
        <v>100</v>
      </c>
      <c r="D24" t="inlineStr"/>
      <c r="E24" s="196" t="inlineStr">
        <is>
          <t>🔗약관검색</t>
        </is>
      </c>
    </row>
    <row r="25">
      <c r="A25" t="inlineStr">
        <is>
          <t>KB손보</t>
        </is>
      </c>
      <c r="B25" t="inlineStr">
        <is>
          <t>외상성특정장기손상 진단비</t>
        </is>
      </c>
      <c r="C25" t="n">
        <v>100</v>
      </c>
      <c r="D25" t="inlineStr"/>
      <c r="E25" s="196" t="inlineStr">
        <is>
          <t>🔗약관검색</t>
        </is>
      </c>
    </row>
    <row r="26">
      <c r="A26" t="inlineStr">
        <is>
          <t>KB손보</t>
        </is>
      </c>
      <c r="B26" t="inlineStr">
        <is>
          <t>치아파절진단비(연간3회한)</t>
        </is>
      </c>
      <c r="C26" t="n">
        <v>30</v>
      </c>
      <c r="D26" t="inlineStr"/>
      <c r="E26" s="196" t="inlineStr">
        <is>
          <t>🔗약관검색</t>
        </is>
      </c>
    </row>
    <row r="27">
      <c r="A27" t="inlineStr">
        <is>
          <t>KB손보</t>
        </is>
      </c>
      <c r="B27" t="inlineStr">
        <is>
          <t>척추질병수술비</t>
        </is>
      </c>
      <c r="C27" t="n">
        <v>20</v>
      </c>
      <c r="D27" t="inlineStr"/>
      <c r="E27" s="196" t="inlineStr">
        <is>
          <t>🔗약관검색</t>
        </is>
      </c>
    </row>
    <row r="28">
      <c r="A28" t="inlineStr">
        <is>
          <t>KB손보</t>
        </is>
      </c>
      <c r="B28" t="inlineStr">
        <is>
          <t>상해흉터복원수술비</t>
        </is>
      </c>
      <c r="C28" t="n">
        <v>7</v>
      </c>
      <c r="D28" t="inlineStr"/>
      <c r="E28" s="196" t="inlineStr">
        <is>
          <t>🔗약관검색</t>
        </is>
      </c>
    </row>
    <row r="29">
      <c r="A29" t="inlineStr">
        <is>
          <t>KB손보</t>
        </is>
      </c>
      <c r="B29" t="inlineStr">
        <is>
          <t>상해흉터복원수술비Ⅱ(안면부)</t>
        </is>
      </c>
      <c r="C29" t="n">
        <v>100</v>
      </c>
      <c r="D29" t="inlineStr"/>
      <c r="E29" s="196" t="inlineStr">
        <is>
          <t>🔗약관검색</t>
        </is>
      </c>
    </row>
    <row r="30">
      <c r="A30" t="inlineStr">
        <is>
          <t>KB손보</t>
        </is>
      </c>
      <c r="B30" t="inlineStr">
        <is>
          <t>외모특정상해(머리,목)수술비</t>
        </is>
      </c>
      <c r="C30" t="n">
        <v>20</v>
      </c>
      <c r="D30" t="inlineStr"/>
      <c r="E30" s="196" t="inlineStr">
        <is>
          <t>🔗약관검색</t>
        </is>
      </c>
    </row>
    <row r="31">
      <c r="A31" t="inlineStr">
        <is>
          <t>KB손보</t>
        </is>
      </c>
      <c r="B31" t="inlineStr">
        <is>
          <t>무릎인대파열∬연골손상수술비</t>
        </is>
      </c>
      <c r="C31" t="n">
        <v>10</v>
      </c>
      <c r="D31" t="inlineStr"/>
      <c r="E31" s="196" t="inlineStr">
        <is>
          <t>🔗약관검색</t>
        </is>
      </c>
    </row>
    <row r="32">
      <c r="A32" t="inlineStr">
        <is>
          <t>KB손보</t>
        </is>
      </c>
      <c r="B32" t="inlineStr">
        <is>
          <t>신경성형수술비(급여, 연간1회한)</t>
        </is>
      </c>
      <c r="C32" t="n">
        <v>10</v>
      </c>
      <c r="D32" t="inlineStr"/>
      <c r="E32" s="196" t="inlineStr">
        <is>
          <t>🔗약관검색</t>
        </is>
      </c>
    </row>
    <row r="33">
      <c r="A33" t="inlineStr">
        <is>
          <t>KB손보</t>
        </is>
      </c>
      <c r="B33" t="inlineStr">
        <is>
          <t>자가연골(세포)이식수술비(급여, 연간1회한)</t>
        </is>
      </c>
      <c r="C33" t="n">
        <v>30</v>
      </c>
      <c r="D33" t="inlineStr"/>
      <c r="E33" s="196" t="inlineStr">
        <is>
          <t>🔗약관검색</t>
        </is>
      </c>
    </row>
    <row r="34">
      <c r="A34" t="inlineStr">
        <is>
          <t>KB손보</t>
        </is>
      </c>
      <c r="B34" t="inlineStr">
        <is>
          <t>5 치핵수술비</t>
        </is>
      </c>
      <c r="C34" t="n">
        <v>10</v>
      </c>
      <c r="D34" t="inlineStr"/>
      <c r="E34" s="196" t="inlineStr">
        <is>
          <t>🔗약관검색</t>
        </is>
      </c>
    </row>
    <row r="35">
      <c r="A35" t="inlineStr">
        <is>
          <t>KB손보</t>
        </is>
      </c>
      <c r="B35" t="inlineStr">
        <is>
          <t>3대하지관절상해수술비</t>
        </is>
      </c>
      <c r="C35" t="n">
        <v>10</v>
      </c>
      <c r="D35" t="inlineStr"/>
      <c r="E35" s="196" t="inlineStr">
        <is>
          <t>🔗약관검색</t>
        </is>
      </c>
    </row>
    <row r="36">
      <c r="A36" t="inlineStr">
        <is>
          <t>KB손보</t>
        </is>
      </c>
      <c r="B36" t="inlineStr">
        <is>
          <t>뇌∬내장손상수술비</t>
        </is>
      </c>
      <c r="C36" t="n">
        <v>200</v>
      </c>
      <c r="D36" t="inlineStr"/>
      <c r="E36" s="196" t="inlineStr">
        <is>
          <t>🔗약관검색</t>
        </is>
      </c>
    </row>
    <row r="37">
      <c r="A37" t="inlineStr">
        <is>
          <t>KB손보</t>
        </is>
      </c>
      <c r="B37" t="inlineStr">
        <is>
          <t>상해수술비(상급종합병원)</t>
        </is>
      </c>
      <c r="C37" t="n">
        <v>50</v>
      </c>
      <c r="D37" t="inlineStr"/>
      <c r="E37" s="196" t="inlineStr">
        <is>
          <t>🔗약관검색</t>
        </is>
      </c>
    </row>
    <row r="38">
      <c r="A38" t="inlineStr">
        <is>
          <t>KB손보</t>
        </is>
      </c>
      <c r="B38" t="inlineStr">
        <is>
          <t>상해수술비(종합병원)</t>
        </is>
      </c>
      <c r="C38" t="n">
        <v>50</v>
      </c>
      <c r="D38" t="inlineStr"/>
      <c r="E38" s="196" t="inlineStr">
        <is>
          <t>🔗약관검색</t>
        </is>
      </c>
    </row>
    <row r="39">
      <c r="A39" t="inlineStr">
        <is>
          <t>KB손보</t>
        </is>
      </c>
      <c r="B39" t="inlineStr">
        <is>
          <t>척추상해수술비</t>
        </is>
      </c>
      <c r="C39" t="n">
        <v>20</v>
      </c>
      <c r="D39" t="inlineStr"/>
      <c r="E39" s="196" t="inlineStr">
        <is>
          <t>🔗약관검색</t>
        </is>
      </c>
    </row>
    <row r="40">
      <c r="A40" t="inlineStr">
        <is>
          <t>KB손보</t>
        </is>
      </c>
      <c r="B40" t="inlineStr">
        <is>
          <t>골관절고정수술비(급여, 연간1회한)</t>
        </is>
      </c>
      <c r="C40" t="n">
        <v>30</v>
      </c>
      <c r="D40" t="inlineStr"/>
      <c r="E40" s="196" t="inlineStr">
        <is>
          <t>🔗약관검색</t>
        </is>
      </c>
    </row>
    <row r="41">
      <c r="A41" t="inlineStr">
        <is>
          <t>KB손보</t>
        </is>
      </c>
      <c r="B41" t="inlineStr">
        <is>
          <t>강력범죄피해보장</t>
        </is>
      </c>
      <c r="C41" t="n">
        <v>300</v>
      </c>
      <c r="D41" t="inlineStr"/>
      <c r="E41" s="196" t="inlineStr">
        <is>
          <t>🔗약관검색</t>
        </is>
      </c>
    </row>
    <row r="42">
      <c r="A42" t="inlineStr">
        <is>
          <t>KB손보</t>
        </is>
      </c>
      <c r="B42" t="inlineStr">
        <is>
          <t>격리실입원(음압)치료비(요양병원제외, 급여, 연간1회한)</t>
        </is>
      </c>
      <c r="C42" t="n">
        <v>30</v>
      </c>
      <c r="D42" t="inlineStr"/>
      <c r="E42" s="196" t="inlineStr">
        <is>
          <t>🔗약관검색</t>
        </is>
      </c>
    </row>
    <row r="43">
      <c r="A43" t="inlineStr">
        <is>
          <t>KB손보</t>
        </is>
      </c>
      <c r="B43" t="inlineStr">
        <is>
          <t>격리실입원(일반)치료비(요양병원제외, 급여, 연간1회한)</t>
        </is>
      </c>
      <c r="C43" t="n">
        <v>30</v>
      </c>
      <c r="D43" t="inlineStr"/>
      <c r="E43" s="196" t="inlineStr">
        <is>
          <t>🔗약관검색</t>
        </is>
      </c>
    </row>
    <row r="44">
      <c r="A44" t="inlineStr">
        <is>
          <t>KB손보</t>
        </is>
      </c>
      <c r="B44" t="inlineStr">
        <is>
          <t>자동차사고부상보장(1~7급)(비운전자)(기본계약)</t>
        </is>
      </c>
      <c r="C44" t="n">
        <v>10</v>
      </c>
      <c r="D44" t="inlineStr"/>
      <c r="E44" s="196" t="inlineStr">
        <is>
          <t>🔗약관검색</t>
        </is>
      </c>
    </row>
    <row r="45">
      <c r="A45" t="inlineStr">
        <is>
          <t>KB손보</t>
        </is>
      </c>
      <c r="B45" t="inlineStr">
        <is>
          <t>자동차사고부상보장A(1~3급)(비운전자)</t>
        </is>
      </c>
      <c r="C45" t="n">
        <v>900</v>
      </c>
      <c r="D45" t="inlineStr"/>
      <c r="E45" s="196" t="inlineStr">
        <is>
          <t>🔗약관검색</t>
        </is>
      </c>
    </row>
    <row r="46">
      <c r="A46" t="inlineStr">
        <is>
          <t>KB손보</t>
        </is>
      </c>
      <c r="B46" t="inlineStr">
        <is>
          <t>자동차사고치아보철보장</t>
        </is>
      </c>
      <c r="C46" t="n">
        <v>50</v>
      </c>
      <c r="D46" t="inlineStr"/>
      <c r="E46" s="196" t="inlineStr">
        <is>
          <t>🔗약관검색</t>
        </is>
      </c>
    </row>
    <row r="47">
      <c r="A47" t="inlineStr">
        <is>
          <t>KB손보</t>
        </is>
      </c>
      <c r="B47" t="inlineStr">
        <is>
          <t>보험료일시납입지원(자동차사고부상1~9급)(운전자)</t>
        </is>
      </c>
      <c r="C47" t="n">
        <v>1</v>
      </c>
      <c r="D47" t="inlineStr"/>
      <c r="E47" s="196" t="inlineStr">
        <is>
          <t>🔗약관검색</t>
        </is>
      </c>
    </row>
    <row r="48">
      <c r="A48" t="inlineStr">
        <is>
          <t>KB손보</t>
        </is>
      </c>
      <c r="B48" t="inlineStr">
        <is>
          <t>자동차사고부상보장(1~7급)(운전자)(기본계약)</t>
        </is>
      </c>
      <c r="C48" t="n">
        <v>1000</v>
      </c>
      <c r="D48" t="inlineStr"/>
      <c r="E48" s="196" t="inlineStr">
        <is>
          <t>🔗약관검색</t>
        </is>
      </c>
    </row>
    <row r="49">
      <c r="A49" t="inlineStr">
        <is>
          <t>KB손보</t>
        </is>
      </c>
      <c r="B49" t="inlineStr">
        <is>
          <t>자동차사고부상보장A(1~3급)(운전자)</t>
        </is>
      </c>
      <c r="C49" t="n">
        <v>3000</v>
      </c>
      <c r="D49" t="inlineStr"/>
      <c r="E49" s="196" t="inlineStr">
        <is>
          <t>🔗약관검색</t>
        </is>
      </c>
    </row>
    <row r="50">
      <c r="A50" t="inlineStr">
        <is>
          <t>KB손보</t>
        </is>
      </c>
      <c r="B50" t="inlineStr">
        <is>
          <t>보험료납입면제대상보장(5대기본)(간편가입)</t>
        </is>
      </c>
      <c r="C50" t="n">
        <v>10</v>
      </c>
      <c r="D50" t="inlineStr"/>
      <c r="E50" s="196" t="inlineStr">
        <is>
          <t>🔗약관검색</t>
        </is>
      </c>
    </row>
    <row r="51">
      <c r="A51" t="inlineStr">
        <is>
          <t>KB손보</t>
        </is>
      </c>
      <c r="B51" t="inlineStr">
        <is>
          <t>항암방사선치료비(남성생식기관련(전립선,음경,고환)암)(간편가입)</t>
        </is>
      </c>
      <c r="C51" t="n">
        <v>3000</v>
      </c>
      <c r="D51" t="inlineStr"/>
      <c r="E51" s="196" t="inlineStr">
        <is>
          <t>🔗약관검색</t>
        </is>
      </c>
    </row>
    <row r="52">
      <c r="A52" t="inlineStr">
        <is>
          <t>KB손보</t>
        </is>
      </c>
      <c r="B52" t="inlineStr">
        <is>
          <t>보험료납입면제대상보장(5대기본)(간편가입)</t>
        </is>
      </c>
      <c r="C52" t="n">
        <v>10</v>
      </c>
      <c r="D52" t="inlineStr"/>
      <c r="E52" s="196" t="inlineStr">
        <is>
          <t>🔗약관검색</t>
        </is>
      </c>
    </row>
    <row r="53">
      <c r="A53" t="inlineStr">
        <is>
          <t>KB손보</t>
        </is>
      </c>
      <c r="B53" t="inlineStr">
        <is>
          <t>특정 양성종양 수술비Ⅰ(24대, 기타 경증질환포함)(최초1회한)(감액있음)(간유사암 주요치료비Plus(종합병원)(항암호르몬약물치료10 제외형)(간편가입)</t>
        </is>
      </c>
      <c r="C53" t="n">
        <v>1000</v>
      </c>
      <c r="D53" t="inlineStr"/>
      <c r="E53" s="196" t="inlineStr">
        <is>
          <t>🔗약관검색</t>
        </is>
      </c>
    </row>
    <row r="54">
      <c r="A54" t="inlineStr">
        <is>
          <t>KB손보</t>
        </is>
      </c>
      <c r="B54" t="inlineStr">
        <is>
          <t>특정 양성종양 수술비Ⅱ(33대, 기타 경증질환포함)(최초1회한)(감액있음)(간특정 양성종양 수술비Ⅲ(5대, 기타 경증질환포함)(최초1회한)(감액있음)(간</t>
        </is>
      </c>
      <c r="C54" t="n">
        <v>1000</v>
      </c>
      <c r="D54" t="inlineStr"/>
      <c r="E54" s="196" t="inlineStr">
        <is>
          <t>🔗약관검색</t>
        </is>
      </c>
    </row>
    <row r="55">
      <c r="A55" t="inlineStr">
        <is>
          <t>KB손보</t>
        </is>
      </c>
      <c r="B55" t="inlineStr">
        <is>
          <t>특정 양성종양 수술비Ⅳ(6대, 기타 경증질환포함)(최초1회한)(감액있음)(간</t>
        </is>
      </c>
      <c r="C55" t="n">
        <v>400</v>
      </c>
      <c r="D55" t="inlineStr"/>
      <c r="E55" s="196" t="inlineStr">
        <is>
          <t>🔗약관검색</t>
        </is>
      </c>
    </row>
    <row r="59">
      <c r="A59" t="inlineStr">
        <is>
          <t>[근거] 실손 세대 판정 (가입일 vs 상품코드 — 상품코드 우선)</t>
        </is>
      </c>
    </row>
    <row r="60">
      <c r="A60" t="inlineStr">
        <is>
          <t>회사</t>
        </is>
      </c>
      <c r="B60" t="inlineStr">
        <is>
          <t>가입일</t>
        </is>
      </c>
      <c r="C60" t="inlineStr">
        <is>
          <t>상품코드(YYMM)</t>
        </is>
      </c>
      <c r="D60" t="inlineStr">
        <is>
          <t>판정</t>
        </is>
      </c>
    </row>
    <row r="61">
      <c r="A61" t="inlineStr">
        <is>
          <t>KB손보</t>
        </is>
      </c>
      <c r="B61" t="inlineStr">
        <is>
          <t>2022.09.17</t>
        </is>
      </c>
      <c r="C61" t="inlineStr">
        <is>
          <t>없음</t>
        </is>
      </c>
      <c r="D61" t="inlineStr">
        <is>
          <t>4세대</t>
        </is>
      </c>
    </row>
    <row r="63">
      <c r="A63" t="inlineStr">
        <is>
          <t>[근거] 심장 블록 기재 내역 (원 담보명 → 기재 행) — 별첨 원문 그대로</t>
        </is>
      </c>
    </row>
    <row r="64">
      <c r="A64" t="inlineStr">
        <is>
          <t>회사</t>
        </is>
      </c>
      <c r="B64" t="inlineStr">
        <is>
          <t>별첨 원 담보명</t>
        </is>
      </c>
      <c r="C64" t="inlineStr">
        <is>
          <t>기재 행</t>
        </is>
      </c>
      <c r="D64" t="inlineStr">
        <is>
          <t>금액(만원)</t>
        </is>
      </c>
    </row>
    <row r="65">
      <c r="A65" t="inlineStr">
        <is>
          <t>KB손보</t>
        </is>
      </c>
      <c r="B65" t="inlineStr">
        <is>
          <t>심장질환(특정Ⅱ)진단비Ⅲ(간편가입)(갱신형)</t>
        </is>
      </c>
      <c r="C65" t="inlineStr">
        <is>
          <t>급성심근경색</t>
        </is>
      </c>
      <c r="D65" t="n">
        <v>1000</v>
      </c>
    </row>
    <row r="66">
      <c r="A66" t="inlineStr">
        <is>
          <t>KB손보</t>
        </is>
      </c>
      <c r="B66" t="inlineStr">
        <is>
          <t>심장질환(특정Ⅰ)진단비Ⅲ(간편가입)(갱신형)</t>
        </is>
      </c>
      <c r="C66" t="inlineStr">
        <is>
          <t>협심증 · 심부전 · 빈맥 · 염증</t>
        </is>
      </c>
      <c r="D66" t="n">
        <v>700</v>
      </c>
    </row>
    <row r="67">
      <c r="A67" t="inlineStr">
        <is>
          <t>KB손보</t>
        </is>
      </c>
      <c r="B67" t="inlineStr">
        <is>
          <t>부정맥질환(Ⅰ49)진단비Ⅲ(간편가입)</t>
        </is>
      </c>
      <c r="C67" t="inlineStr">
        <is>
          <t>부정맥</t>
        </is>
      </c>
      <c r="D67" t="n">
        <v>300</v>
      </c>
    </row>
    <row r="68">
      <c r="A68" t="inlineStr">
        <is>
          <t>KB손보</t>
        </is>
      </c>
      <c r="B68" t="inlineStr">
        <is>
          <t>신특정순환계질환 주요치료비ⅢPlus(간편가입)</t>
        </is>
      </c>
      <c r="C68" t="inlineStr">
        <is>
          <t>2대 주요치료비</t>
        </is>
      </c>
      <c r="D68" t="n">
        <v>1000</v>
      </c>
    </row>
    <row r="69">
      <c r="A69" t="inlineStr">
        <is>
          <t>KB손보</t>
        </is>
      </c>
      <c r="B69" t="inlineStr">
        <is>
          <t>신특정순환계질환 주요치료비ⅢPlus(간편가입)</t>
        </is>
      </c>
      <c r="C69" t="inlineStr">
        <is>
          <t>2대 주요치료비</t>
        </is>
      </c>
      <c r="D69" t="n">
        <v>1000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8" r:id="rId31"/>
    <hyperlink xmlns:r="http://schemas.openxmlformats.org/officeDocument/2006/relationships" ref="E39" r:id="rId32"/>
    <hyperlink xmlns:r="http://schemas.openxmlformats.org/officeDocument/2006/relationships" ref="E40" r:id="rId33"/>
    <hyperlink xmlns:r="http://schemas.openxmlformats.org/officeDocument/2006/relationships" ref="E41" r:id="rId34"/>
    <hyperlink xmlns:r="http://schemas.openxmlformats.org/officeDocument/2006/relationships" ref="E42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1" r:id="rId44"/>
    <hyperlink xmlns:r="http://schemas.openxmlformats.org/officeDocument/2006/relationships" ref="E52" r:id="rId45"/>
    <hyperlink xmlns:r="http://schemas.openxmlformats.org/officeDocument/2006/relationships" ref="E53" r:id="rId46"/>
    <hyperlink xmlns:r="http://schemas.openxmlformats.org/officeDocument/2006/relationships" ref="E54" r:id="rId47"/>
    <hyperlink xmlns:r="http://schemas.openxmlformats.org/officeDocument/2006/relationships" ref="E55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2026-07-02T23:45:35Z</dcterms:modified>
  <cp:lastModifiedBy>Windows</cp:lastModifiedBy>
  <cp:revision>0</cp:revision>
  <cp:lastPrinted>2026-05-12T16:05:05Z</cp:lastPrinted>
</cp:coreProperties>
</file>