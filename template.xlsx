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xr:revisionPtr revIDLastSave="0" documentId="13_ncr:1_{46D281AC-FE24-42E9-9C3E-075CA3460552}" xr6:coauthVersionLast="47" xr6:coauthVersionMax="47" xr10:uidLastSave="{00000000-0000-0000-0000-000000000000}"/>
  <bookViews>
    <workbookView xWindow="-108" yWindow="-108" windowWidth="23256" windowHeight="14016" tabRatio="500" xr2:uid="{00000000-000D-0000-FFFF-FFFF00000000}"/>
  </bookViews>
  <sheets>
    <sheet name="고객 보장진단" sheetId="1" r:id="rId1"/>
    <sheet name="📋확인사항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91" i="1" l="1"/>
  <c r="Q23" i="1"/>
  <c r="Q108" i="1"/>
  <c r="Q109" i="1"/>
  <c r="Q110" i="1"/>
  <c r="Q111" i="1"/>
  <c r="Q104" i="1"/>
  <c r="Q105" i="1"/>
  <c r="Q103" i="1"/>
  <c r="Q102" i="1"/>
  <c r="Q98" i="1"/>
  <c r="Q99" i="1"/>
  <c r="Q74" i="1"/>
  <c r="Q75" i="1"/>
  <c r="Q76" i="1"/>
  <c r="Q77" i="1"/>
  <c r="Q78" i="1"/>
  <c r="Q79" i="1"/>
  <c r="Q80" i="1"/>
  <c r="Q61" i="1"/>
  <c r="Q62" i="1"/>
  <c r="Q63" i="1"/>
  <c r="Q64" i="1"/>
  <c r="Q65" i="1"/>
  <c r="Q66" i="1"/>
  <c r="Q67" i="1"/>
  <c r="Q68" i="1"/>
  <c r="Q69" i="1"/>
  <c r="Q49" i="1"/>
  <c r="Q50" i="1"/>
  <c r="Q51" i="1"/>
  <c r="Q52" i="1"/>
  <c r="Q53" i="1"/>
  <c r="Q54" i="1"/>
  <c r="Q55" i="1"/>
  <c r="Q56" i="1"/>
  <c r="Q48" i="1"/>
  <c r="Q47" i="1"/>
  <c r="Q16" i="1"/>
  <c r="Q19" i="1"/>
  <c r="Q44" i="1"/>
  <c r="Q43" i="1"/>
  <c r="Q42" i="1"/>
  <c r="Q40" i="1"/>
  <c r="Q39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107" i="1"/>
  <c r="Q106" i="1"/>
  <c r="Q101" i="1"/>
  <c r="Q100" i="1"/>
  <c r="Q97" i="1"/>
  <c r="Q96" i="1"/>
  <c r="Q95" i="1"/>
  <c r="Q94" i="1"/>
  <c r="Q93" i="1"/>
  <c r="Q92" i="1"/>
  <c r="Q90" i="1"/>
  <c r="Q89" i="1"/>
  <c r="Q88" i="1"/>
  <c r="Q87" i="1"/>
  <c r="Q86" i="1"/>
  <c r="Q85" i="1"/>
  <c r="Q84" i="1"/>
  <c r="Q83" i="1"/>
  <c r="Q82" i="1"/>
  <c r="Q81" i="1"/>
  <c r="Q73" i="1"/>
  <c r="Q72" i="1"/>
  <c r="Q71" i="1"/>
  <c r="Q70" i="1"/>
  <c r="Q60" i="1"/>
  <c r="Q59" i="1"/>
  <c r="Q58" i="1"/>
  <c r="Q57" i="1"/>
  <c r="Q46" i="1"/>
  <c r="Q45" i="1"/>
  <c r="Q41" i="1"/>
  <c r="Q38" i="1"/>
  <c r="Q22" i="1"/>
  <c r="Q21" i="1"/>
  <c r="Q20" i="1"/>
  <c r="Q18" i="1"/>
  <c r="Q15" i="1"/>
  <c r="Q14" i="1"/>
  <c r="Q13" i="1"/>
  <c r="Q11" i="1"/>
  <c r="Q9" i="1"/>
  <c r="Q8" i="1"/>
</calcChain>
</file>

<file path=xl/sharedStrings.xml><?xml version="1.0" encoding="utf-8"?>
<sst xmlns="http://schemas.openxmlformats.org/spreadsheetml/2006/main" count="325" uniqueCount="258">
  <si>
    <t>두호 고객님
보장진단</t>
  </si>
  <si>
    <t>라이나생명</t>
  </si>
  <si>
    <t>동양생명</t>
  </si>
  <si>
    <t>한화손보</t>
  </si>
  <si>
    <t>롯데손해보험</t>
  </si>
  <si>
    <t>삼성화재</t>
  </si>
  <si>
    <t>합계</t>
  </si>
  <si>
    <t>갱신</t>
  </si>
  <si>
    <t>비갱신</t>
  </si>
  <si>
    <t>갱신구분</t>
  </si>
  <si>
    <t>보험료</t>
  </si>
  <si>
    <t>2023.11.13</t>
  </si>
  <si>
    <t>2014.10.21</t>
  </si>
  <si>
    <t>2021.04.19</t>
  </si>
  <si>
    <t>2024.05.29</t>
  </si>
  <si>
    <t>2025.12.24</t>
  </si>
  <si>
    <t>2010.03.30</t>
  </si>
  <si>
    <t>2026.05.27</t>
  </si>
  <si>
    <t>2010.08.31</t>
  </si>
  <si>
    <t>2009.07.29</t>
  </si>
  <si>
    <t>2025.12.08</t>
  </si>
  <si>
    <t>2021.07.14</t>
  </si>
  <si>
    <t>2023.09.05</t>
  </si>
  <si>
    <t>2020.08.18</t>
  </si>
  <si>
    <t>가입일</t>
  </si>
  <si>
    <t>2033.11.13</t>
  </si>
  <si>
    <t>2075.10.21</t>
  </si>
  <si>
    <t>9999.12.31</t>
  </si>
  <si>
    <t>2076.03.30</t>
  </si>
  <si>
    <t>2066.05.27</t>
  </si>
  <si>
    <t>2076.08.31</t>
  </si>
  <si>
    <t>2076.07.29</t>
  </si>
  <si>
    <t>2045.12.08</t>
  </si>
  <si>
    <t>2041.07.14</t>
  </si>
  <si>
    <t>2043.09.05</t>
  </si>
  <si>
    <t>2030.08.18</t>
  </si>
  <si>
    <t>만기일</t>
  </si>
  <si>
    <t>납입</t>
  </si>
  <si>
    <t>31/120</t>
  </si>
  <si>
    <t>140/240</t>
  </si>
  <si>
    <t>62/360</t>
  </si>
  <si>
    <t>25/120</t>
  </si>
  <si>
    <t>6/84</t>
  </si>
  <si>
    <t>195/240</t>
  </si>
  <si>
    <t>1/240</t>
  </si>
  <si>
    <t>190/552</t>
  </si>
  <si>
    <t>203/804</t>
  </si>
  <si>
    <t>6/240</t>
  </si>
  <si>
    <t>59/240</t>
  </si>
  <si>
    <t>33/240</t>
  </si>
  <si>
    <t>70/120</t>
  </si>
  <si>
    <t>회차</t>
  </si>
  <si>
    <t>사망</t>
  </si>
  <si>
    <t>상해사망</t>
  </si>
  <si>
    <t>교통상해사망</t>
  </si>
  <si>
    <t>후유장애</t>
  </si>
  <si>
    <t>교통후유장해</t>
  </si>
  <si>
    <t>암</t>
  </si>
  <si>
    <t>암진단비</t>
  </si>
  <si>
    <t>항암치료비</t>
  </si>
  <si>
    <t>표적항암치료비</t>
  </si>
  <si>
    <t>다빈치로봇수술비</t>
  </si>
  <si>
    <t>양성자</t>
  </si>
  <si>
    <t>세기조절</t>
  </si>
  <si>
    <t>암수술</t>
  </si>
  <si>
    <t>암일당</t>
  </si>
  <si>
    <t>면역항암치료비</t>
  </si>
  <si>
    <t>호르몬항암치료비</t>
  </si>
  <si>
    <t>뇌혈관</t>
  </si>
  <si>
    <t>뇌혈관진단비</t>
  </si>
  <si>
    <t>뇌졸증진단비</t>
  </si>
  <si>
    <t>뇌출혈진단비</t>
  </si>
  <si>
    <t>뇌혈관수술비</t>
  </si>
  <si>
    <t>심장</t>
  </si>
  <si>
    <t>심부전</t>
  </si>
  <si>
    <t>염증</t>
  </si>
  <si>
    <t>협심증</t>
  </si>
  <si>
    <t>빈맥</t>
  </si>
  <si>
    <t>심근병증</t>
  </si>
  <si>
    <t>심장판막</t>
  </si>
  <si>
    <t>급성심근경색</t>
  </si>
  <si>
    <t>허혈성</t>
  </si>
  <si>
    <t>심장수술비</t>
  </si>
  <si>
    <t>일당</t>
  </si>
  <si>
    <t>질병일당</t>
  </si>
  <si>
    <t>상해일당</t>
  </si>
  <si>
    <t>질병중환자실</t>
  </si>
  <si>
    <t>상해중환자실</t>
  </si>
  <si>
    <t>간병인사용일당</t>
  </si>
  <si>
    <t>요양병원일당</t>
  </si>
  <si>
    <t>간호통합병동일당</t>
  </si>
  <si>
    <t>입원비</t>
  </si>
  <si>
    <t>상해입원</t>
  </si>
  <si>
    <t>질병입원</t>
  </si>
  <si>
    <t>수술비</t>
  </si>
  <si>
    <t>상해수술비</t>
  </si>
  <si>
    <t>질병수술비</t>
  </si>
  <si>
    <t>10/30/50/100/300</t>
  </si>
  <si>
    <t>20/50/200/500/1,000</t>
  </si>
  <si>
    <t>20/50/100/200/1,000</t>
  </si>
  <si>
    <t>20/50/200/500/500</t>
  </si>
  <si>
    <t>골절수술비</t>
  </si>
  <si>
    <t>중대상해수술비</t>
  </si>
  <si>
    <t>화상수술비</t>
  </si>
  <si>
    <t>창상봉합수술비</t>
  </si>
  <si>
    <t>운전자</t>
  </si>
  <si>
    <t>교통사고처리지원금</t>
  </si>
  <si>
    <t>변호사선임비용</t>
  </si>
  <si>
    <t>자동차부상위로금</t>
  </si>
  <si>
    <t>배상</t>
  </si>
  <si>
    <t>일상생활배상책임</t>
  </si>
  <si>
    <t>골절</t>
  </si>
  <si>
    <t>골절진단비</t>
  </si>
  <si>
    <t>화상</t>
  </si>
  <si>
    <t>화상진단비</t>
  </si>
  <si>
    <t>중대화상진단비</t>
  </si>
  <si>
    <t>응급실</t>
  </si>
  <si>
    <t>깁스</t>
  </si>
  <si>
    <t>깁스치료비</t>
  </si>
  <si>
    <t>크라운</t>
  </si>
  <si>
    <t>임플란트</t>
  </si>
  <si>
    <t>치아 기타</t>
  </si>
  <si>
    <t>재가급여</t>
  </si>
  <si>
    <t>시설급여</t>
  </si>
  <si>
    <t>실손</t>
  </si>
  <si>
    <t>실손입원</t>
  </si>
  <si>
    <t>실손통원</t>
  </si>
  <si>
    <t>MRI</t>
  </si>
  <si>
    <t>도수치료</t>
  </si>
  <si>
    <t>비급여주사</t>
  </si>
  <si>
    <r>
      <rPr>
        <b/>
        <sz val="11"/>
        <rFont val="Noto Sans CJK SC"/>
        <family val="2"/>
      </rPr>
      <t xml:space="preserve">두호 고객님 — 확인사항 </t>
    </r>
    <r>
      <rPr>
        <b/>
        <sz val="11"/>
        <rFont val="Cambria"/>
        <family val="1"/>
      </rPr>
      <t>(①</t>
    </r>
    <r>
      <rPr>
        <b/>
        <sz val="11"/>
        <rFont val="Noto Sans CJK SC"/>
        <family val="2"/>
      </rPr>
      <t>기재 ②약관 ③</t>
    </r>
    <r>
      <rPr>
        <b/>
        <sz val="11"/>
        <rFont val="Cambria"/>
        <family val="1"/>
      </rPr>
      <t>PPT</t>
    </r>
    <r>
      <rPr>
        <b/>
        <sz val="11"/>
        <rFont val="Noto Sans CJK SC"/>
        <family val="2"/>
      </rPr>
      <t>외제외 ④팩폭</t>
    </r>
    <r>
      <rPr>
        <b/>
        <sz val="11"/>
        <rFont val="Cambria"/>
        <family val="1"/>
      </rPr>
      <t>)</t>
    </r>
  </si>
  <si>
    <t>구분</t>
  </si>
  <si>
    <t>대상</t>
  </si>
  <si>
    <t>내용</t>
  </si>
  <si>
    <t>②약관</t>
  </si>
  <si>
    <r>
      <rPr>
        <sz val="11"/>
        <color theme="1"/>
        <rFont val="Calibri"/>
        <family val="2"/>
        <charset val="1"/>
      </rPr>
      <t xml:space="preserve">KB </t>
    </r>
    <r>
      <rPr>
        <sz val="11"/>
        <color theme="1"/>
        <rFont val="Noto Sans CJK SC"/>
        <family val="2"/>
      </rPr>
      <t>심장 특정Ⅰ</t>
    </r>
    <r>
      <rPr>
        <sz val="11"/>
        <color theme="1"/>
        <rFont val="Calibri"/>
        <family val="2"/>
        <charset val="1"/>
      </rPr>
      <t>/Ⅱ</t>
    </r>
  </si>
  <si>
    <r>
      <rPr>
        <sz val="11"/>
        <color theme="1"/>
        <rFont val="Noto Sans CJK SC"/>
        <family val="2"/>
      </rPr>
      <t>특정Ⅰ</t>
    </r>
    <r>
      <rPr>
        <sz val="11"/>
        <color theme="1"/>
        <rFont val="Calibri"/>
        <family val="2"/>
        <charset val="1"/>
      </rPr>
      <t>=</t>
    </r>
    <r>
      <rPr>
        <sz val="11"/>
        <color theme="1"/>
        <rFont val="Noto Sans CJK SC"/>
        <family val="2"/>
      </rPr>
      <t>허혈성</t>
    </r>
    <r>
      <rPr>
        <sz val="11"/>
        <color theme="1"/>
        <rFont val="Calibri"/>
        <family val="2"/>
        <charset val="1"/>
      </rPr>
      <t>(I20~25)→</t>
    </r>
    <r>
      <rPr>
        <sz val="11"/>
        <color theme="1"/>
        <rFont val="Noto Sans CJK SC"/>
        <family val="2"/>
      </rPr>
      <t>급성심근경색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 xml:space="preserve">협심증 중복보장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>특정Ⅱ</t>
    </r>
    <r>
      <rPr>
        <sz val="11"/>
        <color theme="1"/>
        <rFont val="Calibri"/>
        <family val="2"/>
        <charset val="1"/>
      </rPr>
      <t>=</t>
    </r>
    <r>
      <rPr>
        <sz val="11"/>
        <color theme="1"/>
        <rFont val="Noto Sans CJK SC"/>
        <family val="2"/>
      </rPr>
      <t>급성심근경색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>증권확인</t>
    </r>
  </si>
  <si>
    <r>
      <rPr>
        <sz val="11"/>
        <color theme="1"/>
        <rFont val="Noto Sans CJK SC"/>
        <family val="2"/>
      </rPr>
      <t xml:space="preserve">라이나 </t>
    </r>
    <r>
      <rPr>
        <sz val="11"/>
        <color theme="1"/>
        <rFont val="Calibri"/>
        <family val="2"/>
        <charset val="1"/>
      </rPr>
      <t xml:space="preserve">Chubb </t>
    </r>
    <r>
      <rPr>
        <sz val="11"/>
        <color theme="1"/>
        <rFont val="Noto Sans CJK SC"/>
        <family val="2"/>
      </rPr>
      <t>심장</t>
    </r>
    <r>
      <rPr>
        <sz val="11"/>
        <color theme="1"/>
        <rFont val="Calibri"/>
        <family val="2"/>
        <charset val="1"/>
      </rPr>
      <t>III</t>
    </r>
  </si>
  <si>
    <r>
      <rPr>
        <sz val="11"/>
        <color theme="1"/>
        <rFont val="Noto Sans CJK SC"/>
        <family val="2"/>
      </rPr>
      <t>급성심근경색</t>
    </r>
    <r>
      <rPr>
        <sz val="11"/>
        <color theme="1"/>
        <rFont val="Calibri"/>
        <family val="2"/>
        <charset val="1"/>
      </rPr>
      <t>+</t>
    </r>
    <r>
      <rPr>
        <sz val="11"/>
        <color theme="1"/>
        <rFont val="Noto Sans CJK SC"/>
        <family val="2"/>
      </rPr>
      <t>특정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>증권확인</t>
    </r>
  </si>
  <si>
    <t>①대표</t>
  </si>
  <si>
    <t>롯데 통합전이암</t>
  </si>
  <si>
    <r>
      <rPr>
        <sz val="11"/>
        <color theme="1"/>
        <rFont val="Noto Sans CJK SC"/>
        <family val="2"/>
      </rPr>
      <t xml:space="preserve">통합형전이암 </t>
    </r>
    <r>
      <rPr>
        <sz val="11"/>
        <color theme="1"/>
        <rFont val="Calibri"/>
        <family val="2"/>
        <charset val="1"/>
      </rPr>
      <t>8</t>
    </r>
    <r>
      <rPr>
        <sz val="11"/>
        <color theme="1"/>
        <rFont val="Noto Sans CJK SC"/>
        <family val="2"/>
      </rPr>
      <t xml:space="preserve">종 → 대표 </t>
    </r>
    <r>
      <rPr>
        <sz val="11"/>
        <color theme="1"/>
        <rFont val="Calibri"/>
        <family val="2"/>
        <charset val="1"/>
      </rPr>
      <t>1,000 1</t>
    </r>
    <r>
      <rPr>
        <sz val="11"/>
        <color theme="1"/>
        <rFont val="Noto Sans CJK SC"/>
        <family val="2"/>
      </rPr>
      <t>건</t>
    </r>
  </si>
  <si>
    <t>③제외</t>
  </si>
  <si>
    <r>
      <rPr>
        <sz val="11"/>
        <color theme="1"/>
        <rFont val="Calibri"/>
        <family val="2"/>
        <charset val="1"/>
      </rPr>
      <t xml:space="preserve">PPT </t>
    </r>
    <r>
      <rPr>
        <sz val="11"/>
        <color theme="1"/>
        <rFont val="Noto Sans CJK SC"/>
        <family val="2"/>
      </rPr>
      <t xml:space="preserve">폼에 없어 미기재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계약별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</si>
  <si>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재해치료특약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CJK SC"/>
        <family val="2"/>
      </rPr>
      <t>주계약</t>
    </r>
  </si>
  <si>
    <t>30</t>
  </si>
  <si>
    <r>
      <rPr>
        <sz val="11"/>
        <color theme="1"/>
        <rFont val="Noto Sans CJK SC"/>
        <family val="2"/>
      </rPr>
      <t>통원특약</t>
    </r>
    <r>
      <rPr>
        <sz val="11"/>
        <color theme="1"/>
        <rFont val="Calibri"/>
        <family val="2"/>
        <charset val="1"/>
      </rPr>
      <t>_(</t>
    </r>
    <r>
      <rPr>
        <sz val="11"/>
        <color theme="1"/>
        <rFont val="Noto Sans CJK SC"/>
        <family val="2"/>
      </rPr>
      <t>무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플러스상해통원특약</t>
    </r>
    <r>
      <rPr>
        <sz val="11"/>
        <color theme="1"/>
        <rFont val="Calibri"/>
        <family val="2"/>
        <charset val="1"/>
      </rPr>
      <t>(100%</t>
    </r>
    <r>
      <rPr>
        <sz val="11"/>
        <color theme="1"/>
        <rFont val="Noto Sans CJK SC"/>
        <family val="2"/>
      </rPr>
      <t>환급형</t>
    </r>
    <r>
      <rPr>
        <sz val="11"/>
        <color theme="1"/>
        <rFont val="Calibri"/>
        <family val="2"/>
        <charset val="1"/>
      </rPr>
      <t>)</t>
    </r>
  </si>
  <si>
    <t>1</t>
  </si>
  <si>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대질환진단</t>
    </r>
    <r>
      <rPr>
        <sz val="11"/>
        <color theme="1"/>
        <rFont val="Calibri"/>
        <family val="2"/>
        <charset val="1"/>
      </rPr>
      <t>_(</t>
    </r>
    <r>
      <rPr>
        <sz val="11"/>
        <color theme="1"/>
        <rFont val="Noto Sans CJK SC"/>
        <family val="2"/>
      </rPr>
      <t>무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플러스의료보장특약</t>
    </r>
    <r>
      <rPr>
        <sz val="11"/>
        <color theme="1"/>
        <rFont val="Calibri"/>
        <family val="2"/>
        <charset val="1"/>
      </rPr>
      <t>F(</t>
    </r>
    <r>
      <rPr>
        <sz val="11"/>
        <color theme="1"/>
        <rFont val="Noto Sans CJK SC"/>
        <family val="2"/>
      </rPr>
      <t>순수보장형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종신</t>
    </r>
    <r>
      <rPr>
        <sz val="11"/>
        <color theme="1"/>
        <rFont val="Calibri"/>
        <family val="2"/>
        <charset val="1"/>
      </rPr>
      <t>)</t>
    </r>
  </si>
  <si>
    <t>2,000</t>
  </si>
  <si>
    <r>
      <rPr>
        <sz val="11"/>
        <color theme="1"/>
        <rFont val="Noto Sans CJK SC"/>
        <family val="2"/>
      </rPr>
      <t>성인병질환</t>
    </r>
    <r>
      <rPr>
        <sz val="11"/>
        <color theme="1"/>
        <rFont val="Calibri"/>
        <family val="2"/>
        <charset val="1"/>
      </rPr>
      <t>_(</t>
    </r>
    <r>
      <rPr>
        <sz val="11"/>
        <color theme="1"/>
        <rFont val="Noto Sans CJK SC"/>
        <family val="2"/>
      </rPr>
      <t>무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플러스의료보장특약</t>
    </r>
    <r>
      <rPr>
        <sz val="11"/>
        <color theme="1"/>
        <rFont val="Calibri"/>
        <family val="2"/>
        <charset val="1"/>
      </rPr>
      <t>F(</t>
    </r>
    <r>
      <rPr>
        <sz val="11"/>
        <color theme="1"/>
        <rFont val="Noto Sans CJK SC"/>
        <family val="2"/>
      </rPr>
      <t>순수보장형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종신</t>
    </r>
    <r>
      <rPr>
        <sz val="11"/>
        <color theme="1"/>
        <rFont val="Calibri"/>
        <family val="2"/>
        <charset val="1"/>
      </rPr>
      <t>)</t>
    </r>
  </si>
  <si>
    <t>1,000</t>
  </si>
  <si>
    <r>
      <rPr>
        <sz val="11"/>
        <color theme="1"/>
        <rFont val="Noto Sans CJK SC"/>
        <family val="2"/>
      </rPr>
      <t>수술보장특약</t>
    </r>
    <r>
      <rPr>
        <sz val="11"/>
        <color theme="1"/>
        <rFont val="Calibri"/>
        <family val="2"/>
        <charset val="1"/>
      </rPr>
      <t>_(</t>
    </r>
    <r>
      <rPr>
        <sz val="11"/>
        <color theme="1"/>
        <rFont val="Noto Sans CJK SC"/>
        <family val="2"/>
      </rPr>
      <t>무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수술보장특약</t>
    </r>
    <r>
      <rPr>
        <sz val="11"/>
        <color theme="1"/>
        <rFont val="Calibri"/>
        <family val="2"/>
        <charset val="1"/>
      </rPr>
      <t>F(A1)(</t>
    </r>
    <r>
      <rPr>
        <sz val="11"/>
        <color theme="1"/>
        <rFont val="Noto Sans CJK SC"/>
        <family val="2"/>
      </rPr>
      <t>순수보장형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본인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종신</t>
    </r>
    <r>
      <rPr>
        <sz val="11"/>
        <color theme="1"/>
        <rFont val="Calibri"/>
        <family val="2"/>
        <charset val="1"/>
      </rPr>
      <t>)</t>
    </r>
  </si>
  <si>
    <t>300</t>
  </si>
  <si>
    <r>
      <rPr>
        <sz val="11"/>
        <color theme="1"/>
        <rFont val="Noto Sans CJK SC"/>
        <family val="2"/>
      </rPr>
      <t>주요질환수술</t>
    </r>
    <r>
      <rPr>
        <sz val="11"/>
        <color theme="1"/>
        <rFont val="Calibri"/>
        <family val="2"/>
        <charset val="1"/>
      </rPr>
      <t>_(</t>
    </r>
    <r>
      <rPr>
        <sz val="11"/>
        <color theme="1"/>
        <rFont val="Noto Sans CJK SC"/>
        <family val="2"/>
      </rPr>
      <t>무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수술보장특약</t>
    </r>
    <r>
      <rPr>
        <sz val="11"/>
        <color theme="1"/>
        <rFont val="Calibri"/>
        <family val="2"/>
        <charset val="1"/>
      </rPr>
      <t>F(A1)(</t>
    </r>
    <r>
      <rPr>
        <sz val="11"/>
        <color theme="1"/>
        <rFont val="Noto Sans CJK SC"/>
        <family val="2"/>
      </rPr>
      <t>순수보장형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본인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종신</t>
    </r>
    <r>
      <rPr>
        <sz val="11"/>
        <color theme="1"/>
        <rFont val="Calibri"/>
        <family val="2"/>
        <charset val="1"/>
      </rPr>
      <t>)</t>
    </r>
  </si>
  <si>
    <t>100</t>
  </si>
  <si>
    <r>
      <rPr>
        <sz val="11"/>
        <color theme="1"/>
        <rFont val="Noto Sans CJK SC"/>
        <family val="2"/>
      </rPr>
      <t>주요질환수술</t>
    </r>
    <r>
      <rPr>
        <sz val="11"/>
        <color theme="1"/>
        <rFont val="Calibri"/>
        <family val="2"/>
        <charset val="1"/>
      </rPr>
      <t>_(</t>
    </r>
    <r>
      <rPr>
        <sz val="11"/>
        <color theme="1"/>
        <rFont val="Noto Sans CJK SC"/>
        <family val="2"/>
      </rPr>
      <t>무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플러스의료보장특약</t>
    </r>
    <r>
      <rPr>
        <sz val="11"/>
        <color theme="1"/>
        <rFont val="Calibri"/>
        <family val="2"/>
        <charset val="1"/>
      </rPr>
      <t>F(</t>
    </r>
    <r>
      <rPr>
        <sz val="11"/>
        <color theme="1"/>
        <rFont val="Noto Sans CJK SC"/>
        <family val="2"/>
      </rPr>
      <t>순수보장형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종신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</si>
  <si>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대상포진</t>
    </r>
    <r>
      <rPr>
        <sz val="11"/>
        <color theme="1"/>
        <rFont val="Calibri"/>
        <family val="2"/>
        <charset val="1"/>
      </rPr>
      <t>_(</t>
    </r>
    <r>
      <rPr>
        <sz val="11"/>
        <color theme="1"/>
        <rFont val="Noto Sans CJK SC"/>
        <family val="2"/>
      </rPr>
      <t>무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플러스의료보장특약</t>
    </r>
    <r>
      <rPr>
        <sz val="11"/>
        <color theme="1"/>
        <rFont val="Calibri"/>
        <family val="2"/>
        <charset val="1"/>
      </rPr>
      <t>F(</t>
    </r>
    <r>
      <rPr>
        <sz val="11"/>
        <color theme="1"/>
        <rFont val="Noto Sans CJK SC"/>
        <family val="2"/>
      </rPr>
      <t>순수보장형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종신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</si>
  <si>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통풍</t>
    </r>
    <r>
      <rPr>
        <sz val="11"/>
        <color theme="1"/>
        <rFont val="Calibri"/>
        <family val="2"/>
        <charset val="1"/>
      </rPr>
      <t>_(</t>
    </r>
    <r>
      <rPr>
        <sz val="11"/>
        <color theme="1"/>
        <rFont val="Noto Sans CJK SC"/>
        <family val="2"/>
      </rPr>
      <t>무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플러스의료보장특약</t>
    </r>
    <r>
      <rPr>
        <sz val="11"/>
        <color theme="1"/>
        <rFont val="Calibri"/>
        <family val="2"/>
        <charset val="1"/>
      </rPr>
      <t>F(</t>
    </r>
    <r>
      <rPr>
        <sz val="11"/>
        <color theme="1"/>
        <rFont val="Noto Sans CJK SC"/>
        <family val="2"/>
      </rPr>
      <t>순수보장형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종신</t>
    </r>
    <r>
      <rPr>
        <sz val="11"/>
        <color theme="1"/>
        <rFont val="Calibri"/>
        <family val="2"/>
        <charset val="1"/>
      </rPr>
      <t>)</t>
    </r>
  </si>
  <si>
    <t>50</t>
  </si>
  <si>
    <t>식중독위로금</t>
  </si>
  <si>
    <t>질병간병비</t>
  </si>
  <si>
    <t>500</t>
  </si>
  <si>
    <t>일반상해간병비</t>
  </si>
  <si>
    <r>
      <rPr>
        <sz val="11"/>
        <color theme="1"/>
        <rFont val="Noto Sans CJK SC"/>
        <family val="2"/>
      </rPr>
      <t>중대한재생불량성빈혈진단비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건강체할인형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</si>
  <si>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특정감염병진단비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건강체할인형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</si>
  <si>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>[</t>
    </r>
    <r>
      <rPr>
        <sz val="11"/>
        <color theme="1"/>
        <rFont val="Noto Sans CJK SC"/>
        <family val="2"/>
      </rPr>
      <t>갱신형</t>
    </r>
    <r>
      <rPr>
        <sz val="11"/>
        <color theme="1"/>
        <rFont val="Calibri"/>
        <family val="2"/>
        <charset val="1"/>
      </rPr>
      <t>]</t>
    </r>
    <r>
      <rPr>
        <sz val="11"/>
        <color theme="1"/>
        <rFont val="Noto Sans CJK SC"/>
        <family val="2"/>
      </rPr>
      <t>소액질병치료비</t>
    </r>
  </si>
  <si>
    <r>
      <rPr>
        <sz val="11"/>
        <color theme="1"/>
        <rFont val="Calibri"/>
        <family val="2"/>
        <charset val="1"/>
      </rPr>
      <t>[</t>
    </r>
    <r>
      <rPr>
        <sz val="11"/>
        <color theme="1"/>
        <rFont val="Noto Sans CJK SC"/>
        <family val="2"/>
      </rPr>
      <t>갱신형</t>
    </r>
    <r>
      <rPr>
        <sz val="11"/>
        <color theme="1"/>
        <rFont val="Calibri"/>
        <family val="2"/>
        <charset val="1"/>
      </rPr>
      <t>]</t>
    </r>
    <r>
      <rPr>
        <sz val="11"/>
        <color theme="1"/>
        <rFont val="Noto Sans CJK SC"/>
        <family val="2"/>
      </rPr>
      <t>중대한질병치료비</t>
    </r>
  </si>
  <si>
    <t>5,000</t>
  </si>
  <si>
    <r>
      <rPr>
        <sz val="11"/>
        <color theme="1"/>
        <rFont val="Calibri"/>
        <family val="2"/>
        <charset val="1"/>
      </rPr>
      <t>[</t>
    </r>
    <r>
      <rPr>
        <sz val="11"/>
        <color theme="1"/>
        <rFont val="Noto Sans CJK SC"/>
        <family val="2"/>
      </rPr>
      <t>갱신형</t>
    </r>
    <r>
      <rPr>
        <sz val="11"/>
        <color theme="1"/>
        <rFont val="Calibri"/>
        <family val="2"/>
        <charset val="1"/>
      </rPr>
      <t>]</t>
    </r>
    <r>
      <rPr>
        <sz val="11"/>
        <color theme="1"/>
        <rFont val="Noto Sans CJK SC"/>
        <family val="2"/>
      </rPr>
      <t>만성당뇨합병증진단비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갱신계약용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</si>
  <si>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>KB</t>
    </r>
    <r>
      <rPr>
        <sz val="11"/>
        <color theme="1"/>
        <rFont val="Noto Sans CJK SC"/>
        <family val="2"/>
      </rPr>
      <t>손보</t>
    </r>
  </si>
  <si>
    <r>
      <rPr>
        <sz val="11"/>
        <color theme="1"/>
        <rFont val="Noto Sans CJK SC"/>
        <family val="2"/>
      </rPr>
      <t>결핵진단비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맞춤고지</t>
    </r>
    <r>
      <rPr>
        <sz val="11"/>
        <color theme="1"/>
        <rFont val="Calibri"/>
        <family val="2"/>
        <charset val="1"/>
      </rPr>
      <t>)</t>
    </r>
  </si>
  <si>
    <t>10</t>
  </si>
  <si>
    <r>
      <rPr>
        <sz val="11"/>
        <color theme="1"/>
        <rFont val="Noto Sans CJK SC"/>
        <family val="2"/>
      </rPr>
      <t>녹내장진단비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맞춤고지</t>
    </r>
    <r>
      <rPr>
        <sz val="11"/>
        <color theme="1"/>
        <rFont val="Calibri"/>
        <family val="2"/>
        <charset val="1"/>
      </rPr>
      <t>)</t>
    </r>
  </si>
  <si>
    <t>20</t>
  </si>
  <si>
    <r>
      <rPr>
        <sz val="11"/>
        <color theme="1"/>
        <rFont val="Noto Sans CJK SC"/>
        <family val="2"/>
      </rPr>
      <t>다발경화증진단비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맞춤고지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</si>
  <si>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대상포진진단비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맞춤고지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</si>
  <si>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만성당뇨합병증진단비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맞춤고지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</si>
  <si>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만성신염 및 신증후군 진단비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맞춤고지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</si>
  <si>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말기간경화진단비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맞춤고지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</si>
  <si>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말기신부전증진단비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맞춤고지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</si>
  <si>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약제내성결핵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슈퍼결핵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진단비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맞춤고지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</si>
  <si>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중대한재생불량성빈혈진단비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맞춤고지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</si>
  <si>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크론병및궤양성대장염진단비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맞춤고지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</si>
  <si>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특정법정감염병진단비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맞춤고지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</si>
  <si>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외상성특정장기손상 진단비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맞춤고지</t>
    </r>
    <r>
      <rPr>
        <sz val="11"/>
        <color theme="1"/>
        <rFont val="Calibri"/>
        <family val="2"/>
        <charset val="1"/>
      </rPr>
      <t>)</t>
    </r>
  </si>
  <si>
    <t>강력범죄피해보장</t>
  </si>
  <si>
    <r>
      <rPr>
        <sz val="11"/>
        <color theme="1"/>
        <rFont val="Noto Sans CJK SC"/>
        <family val="2"/>
      </rPr>
      <t>보험료납입면제대상보장</t>
    </r>
    <r>
      <rPr>
        <sz val="11"/>
        <color theme="1"/>
        <rFont val="Calibri"/>
        <family val="2"/>
        <charset val="1"/>
      </rPr>
      <t>(13</t>
    </r>
    <r>
      <rPr>
        <sz val="11"/>
        <color theme="1"/>
        <rFont val="Noto Sans CJK SC"/>
        <family val="2"/>
      </rPr>
      <t>대</t>
    </r>
    <r>
      <rPr>
        <sz val="11"/>
        <color theme="1"/>
        <rFont val="Calibri"/>
        <family val="2"/>
        <charset val="1"/>
      </rPr>
      <t>B)(</t>
    </r>
    <r>
      <rPr>
        <sz val="11"/>
        <color theme="1"/>
        <rFont val="Noto Sans CJK SC"/>
        <family val="2"/>
      </rPr>
      <t>맞춤고지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</si>
  <si>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아나필락시스진단비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연간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회한</t>
    </r>
    <r>
      <rPr>
        <sz val="11"/>
        <color theme="1"/>
        <rFont val="Calibri"/>
        <family val="2"/>
        <charset val="1"/>
      </rPr>
      <t>)(</t>
    </r>
    <r>
      <rPr>
        <sz val="11"/>
        <color theme="1"/>
        <rFont val="Noto Sans CJK SC"/>
        <family val="2"/>
      </rPr>
      <t>맞춤고지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</si>
  <si>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아나필락시스진단비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응급의료</t>
    </r>
    <r>
      <rPr>
        <sz val="11"/>
        <color theme="1"/>
        <rFont val="Calibri"/>
        <family val="2"/>
        <charset val="1"/>
      </rPr>
      <t>,</t>
    </r>
    <r>
      <rPr>
        <sz val="11"/>
        <color theme="1"/>
        <rFont val="Noto Sans CJK SC"/>
        <family val="2"/>
      </rPr>
      <t>연간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회한</t>
    </r>
    <r>
      <rPr>
        <sz val="11"/>
        <color theme="1"/>
        <rFont val="Calibri"/>
        <family val="2"/>
        <charset val="1"/>
      </rPr>
      <t>)(</t>
    </r>
    <r>
      <rPr>
        <sz val="11"/>
        <color theme="1"/>
        <rFont val="Noto Sans CJK SC"/>
        <family val="2"/>
      </rPr>
      <t>맞춤고지</t>
    </r>
    <r>
      <rPr>
        <sz val="11"/>
        <color theme="1"/>
        <rFont val="Calibri"/>
        <family val="2"/>
        <charset val="1"/>
      </rPr>
      <t>)</t>
    </r>
  </si>
  <si>
    <t>200</t>
  </si>
  <si>
    <r>
      <rPr>
        <sz val="11"/>
        <color theme="1"/>
        <rFont val="Noto Sans CJK SC"/>
        <family val="2"/>
      </rPr>
      <t>암특정재활치료비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급여</t>
    </r>
    <r>
      <rPr>
        <sz val="11"/>
        <color theme="1"/>
        <rFont val="Calibri"/>
        <family val="2"/>
        <charset val="1"/>
      </rPr>
      <t>,1</t>
    </r>
    <r>
      <rPr>
        <sz val="11"/>
        <color theme="1"/>
        <rFont val="Noto Sans CJK SC"/>
        <family val="2"/>
      </rPr>
      <t>일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회</t>
    </r>
    <r>
      <rPr>
        <sz val="11"/>
        <color theme="1"/>
        <rFont val="Calibri"/>
        <family val="2"/>
        <charset val="1"/>
      </rPr>
      <t>,</t>
    </r>
    <r>
      <rPr>
        <sz val="11"/>
        <color theme="1"/>
        <rFont val="Noto Sans CJK SC"/>
        <family val="2"/>
      </rPr>
      <t>연간</t>
    </r>
    <r>
      <rPr>
        <sz val="11"/>
        <color theme="1"/>
        <rFont val="Calibri"/>
        <family val="2"/>
        <charset val="1"/>
      </rPr>
      <t>10</t>
    </r>
    <r>
      <rPr>
        <sz val="11"/>
        <color theme="1"/>
        <rFont val="Noto Sans CJK SC"/>
        <family val="2"/>
      </rPr>
      <t>회한</t>
    </r>
    <r>
      <rPr>
        <sz val="11"/>
        <color theme="1"/>
        <rFont val="Calibri"/>
        <family val="2"/>
        <charset val="1"/>
      </rPr>
      <t>)(</t>
    </r>
    <r>
      <rPr>
        <sz val="11"/>
        <color theme="1"/>
        <rFont val="Noto Sans CJK SC"/>
        <family val="2"/>
      </rPr>
      <t>맞춤고지</t>
    </r>
    <r>
      <rPr>
        <sz val="11"/>
        <color theme="1"/>
        <rFont val="Calibri"/>
        <family val="2"/>
        <charset val="1"/>
      </rPr>
      <t>)</t>
    </r>
  </si>
  <si>
    <t>5</t>
  </si>
  <si>
    <t>민사소송 법률비용</t>
  </si>
  <si>
    <r>
      <rPr>
        <sz val="11"/>
        <color theme="1"/>
        <rFont val="Calibri"/>
        <family val="2"/>
        <charset val="1"/>
      </rPr>
      <t>DB</t>
    </r>
    <r>
      <rPr>
        <sz val="11"/>
        <color theme="1"/>
        <rFont val="Noto Sans CJK SC"/>
        <family val="2"/>
      </rPr>
      <t>손보</t>
    </r>
  </si>
  <si>
    <r>
      <rPr>
        <sz val="11"/>
        <color theme="1"/>
        <rFont val="Noto Sans CJK SC"/>
        <family val="2"/>
      </rPr>
      <t>중증외상치료비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권역외상센터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</si>
  <si>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보복운전피해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인적물적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위로금</t>
    </r>
  </si>
  <si>
    <t>강력범죄피해보험금</t>
  </si>
  <si>
    <r>
      <rPr>
        <sz val="11"/>
        <color theme="1"/>
        <rFont val="Noto Sans CJK SC"/>
        <family val="2"/>
      </rPr>
      <t>강력범죄피해보험금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살인</t>
    </r>
    <r>
      <rPr>
        <sz val="11"/>
        <color theme="1"/>
        <rFont val="Calibri"/>
        <family val="2"/>
        <charset val="1"/>
      </rPr>
      <t>)</t>
    </r>
  </si>
  <si>
    <t>10,000</t>
  </si>
  <si>
    <t>④팩폭</t>
  </si>
  <si>
    <t>마무리</t>
  </si>
  <si>
    <r>
      <rPr>
        <sz val="11"/>
        <color theme="1"/>
        <rFont val="Noto Sans CJK SC"/>
        <family val="2"/>
      </rPr>
      <t>계약별 세로점검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>중복</t>
    </r>
    <r>
      <rPr>
        <sz val="11"/>
        <color theme="1"/>
        <rFont val="Calibri"/>
        <family val="2"/>
        <charset val="1"/>
      </rPr>
      <t>0·</t>
    </r>
    <r>
      <rPr>
        <sz val="11"/>
        <color theme="1"/>
        <rFont val="Noto Sans CJK SC"/>
        <family val="2"/>
      </rPr>
      <t xml:space="preserve">누락 확인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>엑셀</t>
    </r>
    <r>
      <rPr>
        <sz val="11"/>
        <color theme="1"/>
        <rFont val="Calibri"/>
        <family val="2"/>
        <charset val="1"/>
      </rPr>
      <t xml:space="preserve">=PPT </t>
    </r>
    <r>
      <rPr>
        <sz val="11"/>
        <color theme="1"/>
        <rFont val="Noto Sans CJK SC"/>
        <family val="2"/>
      </rPr>
      <t xml:space="preserve">일치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>법칙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>적용</t>
    </r>
  </si>
  <si>
    <t>순환계주요치료비</t>
    <phoneticPr fontId="4" type="noConversion"/>
  </si>
  <si>
    <t>라이나</t>
    <phoneticPr fontId="4" type="noConversion"/>
  </si>
  <si>
    <t>기타</t>
    <phoneticPr fontId="4" type="noConversion"/>
  </si>
  <si>
    <t>독감</t>
    <phoneticPr fontId="4" type="noConversion"/>
  </si>
  <si>
    <t>간병인지원일당</t>
    <phoneticPr fontId="4" type="noConversion"/>
  </si>
  <si>
    <t>메모사항</t>
    <phoneticPr fontId="4" type="noConversion"/>
  </si>
  <si>
    <t>KB손보</t>
  </si>
  <si>
    <t>DB손보</t>
  </si>
  <si>
    <t>10년납</t>
  </si>
  <si>
    <t>20년납</t>
  </si>
  <si>
    <t>30년납</t>
  </si>
  <si>
    <t>7년납</t>
  </si>
  <si>
    <t>46년납</t>
  </si>
  <si>
    <t>67년납</t>
  </si>
  <si>
    <t>일반사망(종신)</t>
  </si>
  <si>
    <t>질병사망(80세)</t>
  </si>
  <si>
    <t>질병사망(__세)</t>
  </si>
  <si>
    <t>상해후유3%</t>
  </si>
  <si>
    <t>상해후유80%</t>
  </si>
  <si>
    <t>질병후유3%</t>
  </si>
  <si>
    <t>질병후유80%</t>
  </si>
  <si>
    <t>암진단비(갱신)</t>
  </si>
  <si>
    <t>유사암(갑.기.경.제)</t>
  </si>
  <si>
    <t>3대암진단비</t>
  </si>
  <si>
    <t>암주요치료비(상급병원)</t>
    <phoneticPr fontId="4" type="noConversion"/>
  </si>
  <si>
    <t>하이클래스(비급여주요치료비)</t>
  </si>
  <si>
    <t>암통원비(상급병원)</t>
  </si>
  <si>
    <t>CAR-T세포치료비</t>
  </si>
  <si>
    <t>13대항암치료비</t>
  </si>
  <si>
    <t>뇌졸증진단비(갱신)</t>
  </si>
  <si>
    <t>산정특례(뇌혈관)</t>
  </si>
  <si>
    <t>혈전용해치료비(뇌졸중)</t>
  </si>
  <si>
    <t>부정맥질환(I49)</t>
  </si>
  <si>
    <t>산정특례(심장)</t>
  </si>
  <si>
    <t>1인실 상급병원일당</t>
  </si>
  <si>
    <t>1인실 종합병원일당</t>
  </si>
  <si>
    <t>간병인지원일당(질병)</t>
  </si>
  <si>
    <t>간병인지원일당(상해)</t>
  </si>
  <si>
    <t>암일당(입원)</t>
  </si>
  <si>
    <t>7대질병 수술비</t>
  </si>
  <si>
    <t>상해종수술비(1-5종)</t>
  </si>
  <si>
    <t>질병종수술비(1-5종)</t>
  </si>
  <si>
    <t>119대 수술비</t>
  </si>
  <si>
    <t>5대골절수술비</t>
  </si>
  <si>
    <t>6주미만처리지원금</t>
  </si>
  <si>
    <t>교통사고벌금(대인)</t>
  </si>
  <si>
    <t>교통사고벌금(대물)</t>
  </si>
  <si>
    <t>5대골절진단비</t>
  </si>
  <si>
    <t>응급실내원비(응급)</t>
  </si>
  <si>
    <t>화재/치아</t>
  </si>
  <si>
    <t>화재벌금/화재보험</t>
  </si>
  <si>
    <t>실손 약(처방조제)</t>
  </si>
  <si>
    <t>통합전이암진단비</t>
    <phoneticPr fontId="4" type="noConversion"/>
  </si>
  <si>
    <t>중입자치료비</t>
    <phoneticPr fontId="4" type="noConversion"/>
  </si>
  <si>
    <t>골절진단비(치아제외)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</si>
</sst>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1"/>
    </font>
    <font>
      <b/>
      <sz val="11"/>
      <name val="Noto Sans CJK SC"/>
      <family val="2"/>
    </font>
    <font>
      <sz val="11"/>
      <color theme="1"/>
      <name val="Noto Sans CJK SC"/>
      <family val="2"/>
    </font>
    <font>
      <b/>
      <sz val="11"/>
      <name val="Cambria"/>
      <family val="1"/>
    </font>
    <font>
      <sz val="8"/>
      <name val="돋움"/>
      <family val="3"/>
      <charset val="129"/>
    </font>
    <font>
      <b/>
      <sz val="11"/>
      <name val="굴림"/>
      <family val="3"/>
      <charset val="129"/>
    </font>
    <font>
      <b/>
      <sz val="11"/>
      <color rgb="FFFFFFFF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i/>
      <sz val="11"/>
      <name val="굴림"/>
      <family val="3"/>
      <charset val="129"/>
    </font>
    <font>
      <b/>
      <sz val="11"/>
      <color rgb="FFFF0000"/>
      <name val="굴림"/>
      <family val="3"/>
      <charset val="129"/>
    </font>
    <font>
      <sz val="11"/>
      <name val="굴림"/>
      <family val="3"/>
      <charset val="129"/>
    </font>
    <font>
      <sz val="11"/>
      <color rgb="FF000000"/>
      <name val="굴림"/>
      <family val="3"/>
      <charset val="129"/>
    </font>
    <font>
      <sz val="11"/>
      <color rgb="FF0000FF"/>
      <name val="굴림"/>
      <family val="3"/>
      <charset val="129"/>
    </font>
    <font>
      <sz val="10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0000"/>
        <bgColor rgb="FF993300"/>
      </patternFill>
    </fill>
    <fill>
      <patternFill patternType="solid">
        <fgColor rgb="FFEAEAEA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4" borderId="0" xfId="0" applyFont="1" applyFill="1"/>
    <xf numFmtId="0" fontId="2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3" fontId="12" fillId="0" borderId="3" xfId="0" applyNumberFormat="1" applyFont="1" applyBorder="1" applyAlignment="1">
      <alignment horizontal="center" vertical="center"/>
    </xf>
    <xf numFmtId="3" fontId="13" fillId="0" borderId="3" xfId="0" applyNumberFormat="1" applyFont="1" applyBorder="1" applyAlignment="1">
      <alignment horizontal="center" vertical="center"/>
    </xf>
    <xf numFmtId="3" fontId="5" fillId="7" borderId="3" xfId="0" applyNumberFormat="1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3" fontId="5" fillId="7" borderId="8" xfId="0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3" fontId="13" fillId="0" borderId="8" xfId="0" applyNumberFormat="1" applyFont="1" applyBorder="1" applyAlignment="1">
      <alignment horizontal="center" vertical="center"/>
    </xf>
    <xf numFmtId="3" fontId="12" fillId="0" borderId="8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shrinkToFit="1"/>
    </xf>
    <xf numFmtId="0" fontId="5" fillId="6" borderId="23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3" fontId="12" fillId="0" borderId="11" xfId="0" applyNumberFormat="1" applyFont="1" applyBorder="1" applyAlignment="1">
      <alignment horizontal="center" vertical="center"/>
    </xf>
    <xf numFmtId="3" fontId="5" fillId="7" borderId="11" xfId="0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3" fontId="13" fillId="0" borderId="11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3" fontId="5" fillId="7" borderId="13" xfId="0" applyNumberFormat="1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3" fontId="12" fillId="0" borderId="10" xfId="0" applyNumberFormat="1" applyFont="1" applyBorder="1" applyAlignment="1">
      <alignment horizontal="center" vertical="center"/>
    </xf>
    <xf numFmtId="3" fontId="13" fillId="0" borderId="10" xfId="0" applyNumberFormat="1" applyFont="1" applyBorder="1" applyAlignment="1">
      <alignment horizontal="center" vertical="center"/>
    </xf>
    <xf numFmtId="3" fontId="5" fillId="7" borderId="10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EA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1"/>
  <sheetViews>
    <sheetView tabSelected="1" topLeftCell="A94" zoomScale="70" zoomScaleNormal="70" workbookViewId="0">
      <selection activeCell="J98" sqref="J98"/>
    </sheetView>
  </sheetViews>
  <sheetFormatPr defaultColWidth="8.6640625" defaultRowHeight="27" customHeight="1"/>
  <cols>
    <col min="1" max="1" width="13.88671875" style="10" customWidth="1"/>
    <col min="2" max="2" width="27.6640625" style="10" customWidth="1"/>
    <col min="3" max="16" width="16.109375" style="10" customWidth="1"/>
    <col min="17" max="17" width="27.6640625" style="10" customWidth="1"/>
    <col min="18" max="18" width="15.88671875" style="10" customWidth="1"/>
    <col min="19" max="16384" width="8.6640625" style="10"/>
  </cols>
  <sheetData>
    <row r="1" spans="1:18" ht="47.4" customHeight="1">
      <c r="A1" s="4" t="s">
        <v>0</v>
      </c>
      <c r="B1" s="5"/>
      <c r="C1" s="6" t="s">
        <v>1</v>
      </c>
      <c r="D1" s="7" t="s">
        <v>2</v>
      </c>
      <c r="E1" s="7" t="s">
        <v>2</v>
      </c>
      <c r="F1" s="7" t="s">
        <v>2</v>
      </c>
      <c r="G1" s="7" t="s">
        <v>2</v>
      </c>
      <c r="H1" s="7" t="s">
        <v>3</v>
      </c>
      <c r="I1" s="7" t="s">
        <v>4</v>
      </c>
      <c r="J1" s="7" t="s">
        <v>5</v>
      </c>
      <c r="K1" s="7" t="s">
        <v>5</v>
      </c>
      <c r="L1" s="7" t="s">
        <v>209</v>
      </c>
      <c r="M1" s="6" t="s">
        <v>210</v>
      </c>
      <c r="N1" s="6" t="s">
        <v>204</v>
      </c>
      <c r="O1" s="6" t="s">
        <v>204</v>
      </c>
      <c r="P1" s="6" t="s">
        <v>204</v>
      </c>
      <c r="Q1" s="8" t="s">
        <v>6</v>
      </c>
      <c r="R1" s="9" t="s">
        <v>208</v>
      </c>
    </row>
    <row r="2" spans="1:18" ht="27" customHeight="1">
      <c r="A2" s="11"/>
      <c r="B2" s="12"/>
      <c r="C2" s="13" t="s">
        <v>7</v>
      </c>
      <c r="D2" s="13" t="s">
        <v>8</v>
      </c>
      <c r="E2" s="13" t="s">
        <v>8</v>
      </c>
      <c r="F2" s="13" t="s">
        <v>8</v>
      </c>
      <c r="G2" s="13" t="s">
        <v>8</v>
      </c>
      <c r="H2" s="13" t="s">
        <v>8</v>
      </c>
      <c r="I2" s="13" t="s">
        <v>8</v>
      </c>
      <c r="J2" s="13" t="s">
        <v>8</v>
      </c>
      <c r="K2" s="13" t="s">
        <v>8</v>
      </c>
      <c r="L2" s="13" t="s">
        <v>8</v>
      </c>
      <c r="M2" s="13" t="s">
        <v>7</v>
      </c>
      <c r="N2" s="13" t="s">
        <v>7</v>
      </c>
      <c r="O2" s="13" t="s">
        <v>7</v>
      </c>
      <c r="P2" s="13" t="s">
        <v>7</v>
      </c>
      <c r="Q2" s="14" t="s">
        <v>9</v>
      </c>
      <c r="R2" s="15"/>
    </row>
    <row r="3" spans="1:18" ht="27" customHeight="1">
      <c r="A3" s="11"/>
      <c r="B3" s="12"/>
      <c r="C3" s="16">
        <v>29240</v>
      </c>
      <c r="D3" s="16">
        <v>28300</v>
      </c>
      <c r="E3" s="16">
        <v>62350</v>
      </c>
      <c r="F3" s="16">
        <v>516000</v>
      </c>
      <c r="G3" s="16">
        <v>317500</v>
      </c>
      <c r="H3" s="16">
        <v>36500</v>
      </c>
      <c r="I3" s="16">
        <v>125318</v>
      </c>
      <c r="J3" s="16">
        <v>93310</v>
      </c>
      <c r="K3" s="16">
        <v>184730</v>
      </c>
      <c r="L3" s="16">
        <v>157801</v>
      </c>
      <c r="M3" s="16">
        <v>35000</v>
      </c>
      <c r="N3" s="16">
        <v>28390</v>
      </c>
      <c r="O3" s="16">
        <v>23710</v>
      </c>
      <c r="P3" s="16">
        <v>36370</v>
      </c>
      <c r="Q3" s="14" t="s">
        <v>10</v>
      </c>
      <c r="R3" s="15"/>
    </row>
    <row r="4" spans="1:18" ht="27" customHeight="1">
      <c r="A4" s="11"/>
      <c r="B4" s="12"/>
      <c r="C4" s="13" t="s">
        <v>11</v>
      </c>
      <c r="D4" s="13" t="s">
        <v>12</v>
      </c>
      <c r="E4" s="13" t="s">
        <v>13</v>
      </c>
      <c r="F4" s="13" t="s">
        <v>14</v>
      </c>
      <c r="G4" s="13" t="s">
        <v>15</v>
      </c>
      <c r="H4" s="13" t="s">
        <v>16</v>
      </c>
      <c r="I4" s="13" t="s">
        <v>17</v>
      </c>
      <c r="J4" s="13" t="s">
        <v>18</v>
      </c>
      <c r="K4" s="13" t="s">
        <v>19</v>
      </c>
      <c r="L4" s="13" t="s">
        <v>17</v>
      </c>
      <c r="M4" s="13" t="s">
        <v>20</v>
      </c>
      <c r="N4" s="13" t="s">
        <v>21</v>
      </c>
      <c r="O4" s="13" t="s">
        <v>22</v>
      </c>
      <c r="P4" s="13" t="s">
        <v>23</v>
      </c>
      <c r="Q4" s="14" t="s">
        <v>24</v>
      </c>
      <c r="R4" s="15"/>
    </row>
    <row r="5" spans="1:18" ht="27" customHeight="1">
      <c r="A5" s="11"/>
      <c r="B5" s="12"/>
      <c r="C5" s="13" t="s">
        <v>25</v>
      </c>
      <c r="D5" s="13" t="s">
        <v>26</v>
      </c>
      <c r="E5" s="13" t="s">
        <v>27</v>
      </c>
      <c r="F5" s="13" t="s">
        <v>27</v>
      </c>
      <c r="G5" s="13" t="s">
        <v>27</v>
      </c>
      <c r="H5" s="13" t="s">
        <v>28</v>
      </c>
      <c r="I5" s="13" t="s">
        <v>29</v>
      </c>
      <c r="J5" s="13" t="s">
        <v>30</v>
      </c>
      <c r="K5" s="13" t="s">
        <v>31</v>
      </c>
      <c r="L5" s="13" t="s">
        <v>29</v>
      </c>
      <c r="M5" s="13" t="s">
        <v>32</v>
      </c>
      <c r="N5" s="13" t="s">
        <v>33</v>
      </c>
      <c r="O5" s="13" t="s">
        <v>34</v>
      </c>
      <c r="P5" s="13" t="s">
        <v>35</v>
      </c>
      <c r="Q5" s="14" t="s">
        <v>36</v>
      </c>
      <c r="R5" s="15"/>
    </row>
    <row r="6" spans="1:18" ht="27" customHeight="1">
      <c r="A6" s="11"/>
      <c r="B6" s="12"/>
      <c r="C6" s="17" t="s">
        <v>211</v>
      </c>
      <c r="D6" s="17" t="s">
        <v>212</v>
      </c>
      <c r="E6" s="17" t="s">
        <v>213</v>
      </c>
      <c r="F6" s="17" t="s">
        <v>211</v>
      </c>
      <c r="G6" s="17" t="s">
        <v>214</v>
      </c>
      <c r="H6" s="17" t="s">
        <v>212</v>
      </c>
      <c r="I6" s="17" t="s">
        <v>212</v>
      </c>
      <c r="J6" s="17" t="s">
        <v>215</v>
      </c>
      <c r="K6" s="17" t="s">
        <v>216</v>
      </c>
      <c r="L6" s="17" t="s">
        <v>212</v>
      </c>
      <c r="M6" s="17" t="s">
        <v>212</v>
      </c>
      <c r="N6" s="17" t="s">
        <v>212</v>
      </c>
      <c r="O6" s="17" t="s">
        <v>212</v>
      </c>
      <c r="P6" s="17" t="s">
        <v>211</v>
      </c>
      <c r="Q6" s="14" t="s">
        <v>37</v>
      </c>
      <c r="R6" s="15"/>
    </row>
    <row r="7" spans="1:18" ht="27" customHeight="1" thickBot="1">
      <c r="A7" s="18"/>
      <c r="B7" s="19"/>
      <c r="C7" s="20" t="s">
        <v>38</v>
      </c>
      <c r="D7" s="20" t="s">
        <v>39</v>
      </c>
      <c r="E7" s="20" t="s">
        <v>40</v>
      </c>
      <c r="F7" s="20" t="s">
        <v>41</v>
      </c>
      <c r="G7" s="20" t="s">
        <v>42</v>
      </c>
      <c r="H7" s="20" t="s">
        <v>43</v>
      </c>
      <c r="I7" s="20" t="s">
        <v>44</v>
      </c>
      <c r="J7" s="20" t="s">
        <v>45</v>
      </c>
      <c r="K7" s="20" t="s">
        <v>46</v>
      </c>
      <c r="L7" s="20" t="s">
        <v>44</v>
      </c>
      <c r="M7" s="20" t="s">
        <v>47</v>
      </c>
      <c r="N7" s="20" t="s">
        <v>48</v>
      </c>
      <c r="O7" s="20" t="s">
        <v>49</v>
      </c>
      <c r="P7" s="20" t="s">
        <v>50</v>
      </c>
      <c r="Q7" s="21" t="s">
        <v>51</v>
      </c>
      <c r="R7" s="22"/>
    </row>
    <row r="8" spans="1:18" ht="27" customHeight="1">
      <c r="A8" s="23" t="s">
        <v>52</v>
      </c>
      <c r="B8" s="24" t="s">
        <v>217</v>
      </c>
      <c r="C8" s="25"/>
      <c r="D8" s="25"/>
      <c r="E8" s="26">
        <v>400</v>
      </c>
      <c r="F8" s="25"/>
      <c r="G8" s="25"/>
      <c r="H8" s="25"/>
      <c r="I8" s="25"/>
      <c r="J8" s="25"/>
      <c r="K8" s="27">
        <v>3000</v>
      </c>
      <c r="L8" s="25"/>
      <c r="M8" s="25"/>
      <c r="N8" s="25"/>
      <c r="O8" s="25"/>
      <c r="P8" s="25"/>
      <c r="Q8" s="28">
        <f>SUM(C8:P8)</f>
        <v>3400</v>
      </c>
      <c r="R8" s="29"/>
    </row>
    <row r="9" spans="1:18" ht="27" customHeight="1">
      <c r="A9" s="30"/>
      <c r="B9" s="31" t="s">
        <v>218</v>
      </c>
      <c r="C9" s="32"/>
      <c r="D9" s="32"/>
      <c r="E9" s="32"/>
      <c r="F9" s="32"/>
      <c r="G9" s="32"/>
      <c r="H9" s="32"/>
      <c r="I9" s="32"/>
      <c r="J9" s="32"/>
      <c r="K9" s="33">
        <v>8000</v>
      </c>
      <c r="L9" s="32"/>
      <c r="M9" s="32"/>
      <c r="N9" s="32"/>
      <c r="O9" s="32"/>
      <c r="P9" s="32"/>
      <c r="Q9" s="34">
        <f>SUM(C9:P9)</f>
        <v>8000</v>
      </c>
      <c r="R9" s="35"/>
    </row>
    <row r="10" spans="1:18" ht="27" customHeight="1">
      <c r="A10" s="30"/>
      <c r="B10" s="31" t="s">
        <v>219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4"/>
      <c r="R10" s="35"/>
    </row>
    <row r="11" spans="1:18" ht="27" customHeight="1">
      <c r="A11" s="30"/>
      <c r="B11" s="31" t="s">
        <v>53</v>
      </c>
      <c r="C11" s="32"/>
      <c r="D11" s="32"/>
      <c r="E11" s="32"/>
      <c r="F11" s="33">
        <v>6000</v>
      </c>
      <c r="G11" s="33">
        <v>2500</v>
      </c>
      <c r="H11" s="33">
        <v>1000</v>
      </c>
      <c r="I11" s="32"/>
      <c r="J11" s="33">
        <v>25000</v>
      </c>
      <c r="K11" s="33">
        <v>20000</v>
      </c>
      <c r="L11" s="32"/>
      <c r="M11" s="32"/>
      <c r="N11" s="32"/>
      <c r="O11" s="32"/>
      <c r="P11" s="32"/>
      <c r="Q11" s="34">
        <f>SUM(C11:P11)</f>
        <v>54500</v>
      </c>
      <c r="R11" s="35"/>
    </row>
    <row r="12" spans="1:18" ht="27" customHeight="1" thickBot="1">
      <c r="A12" s="30"/>
      <c r="B12" s="36" t="s">
        <v>54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8"/>
      <c r="R12" s="39"/>
    </row>
    <row r="13" spans="1:18" ht="27" customHeight="1">
      <c r="A13" s="30" t="s">
        <v>55</v>
      </c>
      <c r="B13" s="24" t="s">
        <v>220</v>
      </c>
      <c r="C13" s="25"/>
      <c r="D13" s="25"/>
      <c r="E13" s="25"/>
      <c r="F13" s="25"/>
      <c r="G13" s="25"/>
      <c r="H13" s="25"/>
      <c r="I13" s="26">
        <v>1000</v>
      </c>
      <c r="J13" s="25"/>
      <c r="K13" s="25"/>
      <c r="L13" s="26">
        <v>100</v>
      </c>
      <c r="M13" s="27">
        <v>1100</v>
      </c>
      <c r="N13" s="25"/>
      <c r="O13" s="25"/>
      <c r="P13" s="25"/>
      <c r="Q13" s="28">
        <f>SUM(C13:P13)</f>
        <v>2200</v>
      </c>
      <c r="R13" s="29"/>
    </row>
    <row r="14" spans="1:18" ht="27" customHeight="1">
      <c r="A14" s="30"/>
      <c r="B14" s="31" t="s">
        <v>221</v>
      </c>
      <c r="C14" s="32"/>
      <c r="D14" s="32"/>
      <c r="E14" s="32"/>
      <c r="F14" s="32"/>
      <c r="G14" s="32"/>
      <c r="H14" s="32"/>
      <c r="I14" s="32"/>
      <c r="J14" s="32"/>
      <c r="K14" s="33">
        <v>40000</v>
      </c>
      <c r="L14" s="32"/>
      <c r="M14" s="32"/>
      <c r="N14" s="32"/>
      <c r="O14" s="32"/>
      <c r="P14" s="32"/>
      <c r="Q14" s="34">
        <f>SUM(C14:P14)</f>
        <v>40000</v>
      </c>
      <c r="R14" s="35"/>
    </row>
    <row r="15" spans="1:18" ht="27" customHeight="1">
      <c r="A15" s="30"/>
      <c r="B15" s="31" t="s">
        <v>222</v>
      </c>
      <c r="C15" s="32"/>
      <c r="D15" s="32"/>
      <c r="E15" s="32"/>
      <c r="F15" s="32"/>
      <c r="G15" s="32"/>
      <c r="H15" s="32"/>
      <c r="I15" s="33">
        <v>1000</v>
      </c>
      <c r="J15" s="32"/>
      <c r="K15" s="32"/>
      <c r="L15" s="32"/>
      <c r="M15" s="32"/>
      <c r="N15" s="32"/>
      <c r="O15" s="32"/>
      <c r="P15" s="32"/>
      <c r="Q15" s="34">
        <f>SUM(C15:P15)</f>
        <v>1000</v>
      </c>
      <c r="R15" s="35"/>
    </row>
    <row r="16" spans="1:18" ht="27" customHeight="1">
      <c r="A16" s="30"/>
      <c r="B16" s="31" t="s">
        <v>223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4">
        <f>SUM(C16:P16)</f>
        <v>0</v>
      </c>
      <c r="R16" s="35"/>
    </row>
    <row r="17" spans="1:18" ht="27" customHeight="1" thickBot="1">
      <c r="A17" s="30"/>
      <c r="B17" s="36" t="s">
        <v>56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8"/>
      <c r="R17" s="39"/>
    </row>
    <row r="18" spans="1:18" ht="27" customHeight="1">
      <c r="A18" s="30" t="s">
        <v>57</v>
      </c>
      <c r="B18" s="24" t="s">
        <v>58</v>
      </c>
      <c r="C18" s="25"/>
      <c r="D18" s="25"/>
      <c r="E18" s="25"/>
      <c r="F18" s="25"/>
      <c r="G18" s="25"/>
      <c r="H18" s="25"/>
      <c r="I18" s="57">
        <v>2000</v>
      </c>
      <c r="J18" s="25"/>
      <c r="K18" s="27"/>
      <c r="L18" s="25"/>
      <c r="M18" s="25"/>
      <c r="N18" s="27"/>
      <c r="O18" s="25"/>
      <c r="P18" s="25"/>
      <c r="Q18" s="28">
        <f>SUM(C18:P18)</f>
        <v>2000</v>
      </c>
      <c r="R18" s="29"/>
    </row>
    <row r="19" spans="1:18" ht="27" customHeight="1">
      <c r="A19" s="30"/>
      <c r="B19" s="31" t="s">
        <v>224</v>
      </c>
      <c r="C19" s="32"/>
      <c r="D19" s="32"/>
      <c r="E19" s="32"/>
      <c r="F19" s="32"/>
      <c r="G19" s="32"/>
      <c r="H19" s="32"/>
      <c r="I19" s="58">
        <v>3000</v>
      </c>
      <c r="J19" s="32"/>
      <c r="K19" s="58">
        <v>3000</v>
      </c>
      <c r="L19" s="32"/>
      <c r="M19" s="32"/>
      <c r="N19" s="58">
        <v>5000</v>
      </c>
      <c r="O19" s="32"/>
      <c r="P19" s="32"/>
      <c r="Q19" s="34">
        <f>SUM(C19:P19)</f>
        <v>11000</v>
      </c>
      <c r="R19" s="35"/>
    </row>
    <row r="20" spans="1:18" ht="27" customHeight="1">
      <c r="A20" s="30"/>
      <c r="B20" s="31" t="s">
        <v>225</v>
      </c>
      <c r="C20" s="32"/>
      <c r="D20" s="32"/>
      <c r="E20" s="32"/>
      <c r="F20" s="32"/>
      <c r="G20" s="32"/>
      <c r="H20" s="32"/>
      <c r="I20" s="33">
        <v>1000</v>
      </c>
      <c r="J20" s="32"/>
      <c r="K20" s="58">
        <v>300</v>
      </c>
      <c r="L20" s="33">
        <v>7</v>
      </c>
      <c r="M20" s="32"/>
      <c r="N20" s="40">
        <v>1003</v>
      </c>
      <c r="O20" s="40">
        <v>1000</v>
      </c>
      <c r="P20" s="32"/>
      <c r="Q20" s="34">
        <f>SUM(C20:P20)</f>
        <v>3310</v>
      </c>
      <c r="R20" s="35"/>
    </row>
    <row r="21" spans="1:18" ht="27" customHeight="1">
      <c r="A21" s="30"/>
      <c r="B21" s="31" t="s">
        <v>226</v>
      </c>
      <c r="C21" s="32"/>
      <c r="D21" s="32"/>
      <c r="E21" s="32"/>
      <c r="F21" s="32"/>
      <c r="G21" s="32"/>
      <c r="H21" s="32"/>
      <c r="I21" s="32"/>
      <c r="J21" s="32"/>
      <c r="K21" s="40"/>
      <c r="L21" s="32"/>
      <c r="M21" s="32"/>
      <c r="N21" s="40"/>
      <c r="O21" s="32"/>
      <c r="P21" s="32"/>
      <c r="Q21" s="34">
        <f>SUM(C21:P21)</f>
        <v>0</v>
      </c>
      <c r="R21" s="35"/>
    </row>
    <row r="22" spans="1:18" ht="27" customHeight="1">
      <c r="A22" s="30"/>
      <c r="B22" s="31" t="s">
        <v>255</v>
      </c>
      <c r="C22" s="32"/>
      <c r="D22" s="32"/>
      <c r="E22" s="32"/>
      <c r="F22" s="32"/>
      <c r="G22" s="32"/>
      <c r="H22" s="32"/>
      <c r="I22" s="33">
        <v>1000</v>
      </c>
      <c r="J22" s="32"/>
      <c r="K22" s="32"/>
      <c r="L22" s="32"/>
      <c r="M22" s="32"/>
      <c r="N22" s="32"/>
      <c r="O22" s="32"/>
      <c r="P22" s="32"/>
      <c r="Q22" s="34">
        <f>SUM(C22:P22)</f>
        <v>1000</v>
      </c>
      <c r="R22" s="35"/>
    </row>
    <row r="23" spans="1:18" ht="27" customHeight="1">
      <c r="A23" s="30"/>
      <c r="B23" s="31" t="s">
        <v>256</v>
      </c>
      <c r="C23" s="32"/>
      <c r="D23" s="32"/>
      <c r="E23" s="32"/>
      <c r="F23" s="32"/>
      <c r="G23" s="32"/>
      <c r="H23" s="32"/>
      <c r="I23" s="33">
        <v>5000</v>
      </c>
      <c r="J23" s="32"/>
      <c r="K23" s="32"/>
      <c r="L23" s="32"/>
      <c r="M23" s="32"/>
      <c r="N23" s="32"/>
      <c r="O23" s="32"/>
      <c r="P23" s="32"/>
      <c r="Q23" s="34">
        <f>SUM(C23:P23)</f>
        <v>5000</v>
      </c>
      <c r="R23" s="35"/>
    </row>
    <row r="24" spans="1:18" ht="27" customHeight="1">
      <c r="A24" s="30"/>
      <c r="B24" s="31" t="s">
        <v>59</v>
      </c>
      <c r="C24" s="32"/>
      <c r="D24" s="32"/>
      <c r="E24" s="32"/>
      <c r="F24" s="32"/>
      <c r="G24" s="32"/>
      <c r="H24" s="32"/>
      <c r="I24" s="33">
        <v>1000</v>
      </c>
      <c r="J24" s="32"/>
      <c r="K24" s="32"/>
      <c r="L24" s="32"/>
      <c r="M24" s="32"/>
      <c r="N24" s="32"/>
      <c r="O24" s="32"/>
      <c r="P24" s="32"/>
      <c r="Q24" s="34">
        <f t="shared" ref="Q24:Q36" si="0">SUM(C24:P24)</f>
        <v>1000</v>
      </c>
      <c r="R24" s="35"/>
    </row>
    <row r="25" spans="1:18" ht="27" customHeight="1">
      <c r="A25" s="30"/>
      <c r="B25" s="31" t="s">
        <v>60</v>
      </c>
      <c r="C25" s="32"/>
      <c r="D25" s="32"/>
      <c r="E25" s="32"/>
      <c r="F25" s="32"/>
      <c r="G25" s="32"/>
      <c r="H25" s="32"/>
      <c r="I25" s="58">
        <v>3000</v>
      </c>
      <c r="J25" s="32"/>
      <c r="K25" s="32"/>
      <c r="L25" s="32"/>
      <c r="M25" s="32"/>
      <c r="N25" s="32"/>
      <c r="O25" s="32"/>
      <c r="P25" s="32"/>
      <c r="Q25" s="34">
        <f t="shared" si="0"/>
        <v>3000</v>
      </c>
      <c r="R25" s="35"/>
    </row>
    <row r="26" spans="1:18" ht="27" customHeight="1">
      <c r="A26" s="30"/>
      <c r="B26" s="31" t="s">
        <v>61</v>
      </c>
      <c r="C26" s="32"/>
      <c r="D26" s="32"/>
      <c r="E26" s="32"/>
      <c r="F26" s="32"/>
      <c r="G26" s="32"/>
      <c r="H26" s="32"/>
      <c r="I26" s="58">
        <v>1000</v>
      </c>
      <c r="J26" s="32"/>
      <c r="K26" s="32"/>
      <c r="L26" s="32"/>
      <c r="M26" s="32"/>
      <c r="N26" s="32"/>
      <c r="O26" s="32"/>
      <c r="P26" s="32"/>
      <c r="Q26" s="34">
        <f t="shared" si="0"/>
        <v>1000</v>
      </c>
      <c r="R26" s="35"/>
    </row>
    <row r="27" spans="1:18" ht="27" customHeight="1">
      <c r="A27" s="30"/>
      <c r="B27" s="31" t="s">
        <v>62</v>
      </c>
      <c r="C27" s="32"/>
      <c r="D27" s="32"/>
      <c r="E27" s="32"/>
      <c r="F27" s="32"/>
      <c r="G27" s="32"/>
      <c r="H27" s="32"/>
      <c r="I27" s="40">
        <v>2000</v>
      </c>
      <c r="J27" s="32"/>
      <c r="K27" s="32"/>
      <c r="L27" s="32"/>
      <c r="M27" s="32"/>
      <c r="N27" s="32"/>
      <c r="O27" s="32"/>
      <c r="P27" s="32"/>
      <c r="Q27" s="34">
        <f t="shared" si="0"/>
        <v>2000</v>
      </c>
      <c r="R27" s="35"/>
    </row>
    <row r="28" spans="1:18" ht="27" customHeight="1">
      <c r="A28" s="30"/>
      <c r="B28" s="31" t="s">
        <v>63</v>
      </c>
      <c r="C28" s="32"/>
      <c r="D28" s="32"/>
      <c r="E28" s="32"/>
      <c r="F28" s="32"/>
      <c r="G28" s="32"/>
      <c r="H28" s="32"/>
      <c r="I28" s="40">
        <v>1000</v>
      </c>
      <c r="J28" s="32"/>
      <c r="K28" s="32"/>
      <c r="L28" s="32"/>
      <c r="M28" s="32"/>
      <c r="N28" s="32"/>
      <c r="O28" s="32"/>
      <c r="P28" s="32"/>
      <c r="Q28" s="34">
        <f t="shared" si="0"/>
        <v>1000</v>
      </c>
      <c r="R28" s="35"/>
    </row>
    <row r="29" spans="1:18" ht="27" customHeight="1">
      <c r="A29" s="30"/>
      <c r="B29" s="31" t="s">
        <v>64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4">
        <f t="shared" si="0"/>
        <v>0</v>
      </c>
      <c r="R29" s="35"/>
    </row>
    <row r="30" spans="1:18" ht="27" customHeight="1">
      <c r="A30" s="30"/>
      <c r="B30" s="31" t="s">
        <v>227</v>
      </c>
      <c r="C30" s="32"/>
      <c r="D30" s="32"/>
      <c r="E30" s="32"/>
      <c r="F30" s="32"/>
      <c r="G30" s="32"/>
      <c r="H30" s="32"/>
      <c r="I30" s="32">
        <v>1000</v>
      </c>
      <c r="J30" s="32"/>
      <c r="K30" s="32"/>
      <c r="L30" s="32"/>
      <c r="M30" s="32"/>
      <c r="N30" s="32"/>
      <c r="O30" s="32"/>
      <c r="P30" s="32"/>
      <c r="Q30" s="34">
        <f t="shared" si="0"/>
        <v>1000</v>
      </c>
      <c r="R30" s="35"/>
    </row>
    <row r="31" spans="1:18" ht="27" customHeight="1">
      <c r="A31" s="30"/>
      <c r="B31" s="41" t="s">
        <v>228</v>
      </c>
      <c r="C31" s="32"/>
      <c r="D31" s="32"/>
      <c r="E31" s="32"/>
      <c r="F31" s="32"/>
      <c r="G31" s="32"/>
      <c r="H31" s="32"/>
      <c r="I31" s="32">
        <v>1000</v>
      </c>
      <c r="J31" s="32"/>
      <c r="K31" s="32"/>
      <c r="L31" s="32"/>
      <c r="M31" s="32"/>
      <c r="N31" s="32"/>
      <c r="O31" s="32"/>
      <c r="P31" s="32"/>
      <c r="Q31" s="34">
        <f t="shared" si="0"/>
        <v>1000</v>
      </c>
      <c r="R31" s="35"/>
    </row>
    <row r="32" spans="1:18" ht="27" customHeight="1">
      <c r="A32" s="30"/>
      <c r="B32" s="31" t="s">
        <v>229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4">
        <f t="shared" si="0"/>
        <v>0</v>
      </c>
      <c r="R32" s="35"/>
    </row>
    <row r="33" spans="1:18" ht="27" customHeight="1">
      <c r="A33" s="30"/>
      <c r="B33" s="31" t="s">
        <v>65</v>
      </c>
      <c r="C33" s="32"/>
      <c r="D33" s="32"/>
      <c r="E33" s="32"/>
      <c r="F33" s="32"/>
      <c r="G33" s="32"/>
      <c r="H33" s="32"/>
      <c r="I33" s="32"/>
      <c r="J33" s="32"/>
      <c r="K33" s="40">
        <v>5</v>
      </c>
      <c r="L33" s="33">
        <v>4</v>
      </c>
      <c r="M33" s="32"/>
      <c r="N33" s="32"/>
      <c r="O33" s="32"/>
      <c r="P33" s="32"/>
      <c r="Q33" s="34">
        <f t="shared" si="0"/>
        <v>9</v>
      </c>
      <c r="R33" s="35"/>
    </row>
    <row r="34" spans="1:18" ht="27" customHeight="1">
      <c r="A34" s="30"/>
      <c r="B34" s="31" t="s">
        <v>230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4">
        <f t="shared" si="0"/>
        <v>0</v>
      </c>
      <c r="R34" s="35"/>
    </row>
    <row r="35" spans="1:18" ht="27" customHeight="1">
      <c r="A35" s="30"/>
      <c r="B35" s="31" t="s">
        <v>231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4">
        <f t="shared" si="0"/>
        <v>0</v>
      </c>
      <c r="R35" s="35"/>
    </row>
    <row r="36" spans="1:18" ht="27" customHeight="1">
      <c r="A36" s="30"/>
      <c r="B36" s="31" t="s">
        <v>66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4">
        <f t="shared" si="0"/>
        <v>0</v>
      </c>
      <c r="R36" s="35"/>
    </row>
    <row r="37" spans="1:18" ht="27" customHeight="1" thickBot="1">
      <c r="A37" s="30"/>
      <c r="B37" s="36" t="s">
        <v>67</v>
      </c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8"/>
      <c r="R37" s="39"/>
    </row>
    <row r="38" spans="1:18" ht="27" customHeight="1">
      <c r="A38" s="30" t="s">
        <v>68</v>
      </c>
      <c r="B38" s="24" t="s">
        <v>69</v>
      </c>
      <c r="C38" s="25"/>
      <c r="D38" s="25"/>
      <c r="E38" s="25"/>
      <c r="F38" s="25"/>
      <c r="G38" s="25"/>
      <c r="H38" s="25"/>
      <c r="I38" s="26"/>
      <c r="J38" s="25"/>
      <c r="K38" s="25"/>
      <c r="L38" s="26">
        <v>1000</v>
      </c>
      <c r="M38" s="25"/>
      <c r="N38" s="25"/>
      <c r="O38" s="25"/>
      <c r="P38" s="25"/>
      <c r="Q38" s="28">
        <f>SUM(C38:P38)</f>
        <v>1000</v>
      </c>
      <c r="R38" s="29"/>
    </row>
    <row r="39" spans="1:18" ht="27" customHeight="1">
      <c r="A39" s="30"/>
      <c r="B39" s="31" t="s">
        <v>70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4">
        <f>SUM(C39:P39)</f>
        <v>0</v>
      </c>
      <c r="R39" s="35"/>
    </row>
    <row r="40" spans="1:18" ht="27" customHeight="1">
      <c r="A40" s="30"/>
      <c r="B40" s="31" t="s">
        <v>232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4">
        <f>SUM(C40:P40)</f>
        <v>0</v>
      </c>
      <c r="R40" s="35"/>
    </row>
    <row r="41" spans="1:18" ht="27" customHeight="1">
      <c r="A41" s="30"/>
      <c r="B41" s="31" t="s">
        <v>71</v>
      </c>
      <c r="C41" s="40">
        <v>2000</v>
      </c>
      <c r="D41" s="32"/>
      <c r="E41" s="32"/>
      <c r="F41" s="32"/>
      <c r="G41" s="32"/>
      <c r="H41" s="32"/>
      <c r="I41" s="32"/>
      <c r="J41" s="32"/>
      <c r="K41" s="40">
        <v>3000</v>
      </c>
      <c r="L41" s="33"/>
      <c r="M41" s="40">
        <v>200</v>
      </c>
      <c r="N41" s="32"/>
      <c r="O41" s="32"/>
      <c r="P41" s="32"/>
      <c r="Q41" s="34">
        <f>SUM(C41:P41)</f>
        <v>5200</v>
      </c>
      <c r="R41" s="35"/>
    </row>
    <row r="42" spans="1:18" ht="27" customHeight="1">
      <c r="A42" s="30"/>
      <c r="B42" s="31" t="s">
        <v>233</v>
      </c>
      <c r="C42" s="32"/>
      <c r="D42" s="32"/>
      <c r="E42" s="32"/>
      <c r="F42" s="32"/>
      <c r="G42" s="32"/>
      <c r="H42" s="32"/>
      <c r="I42" s="32"/>
      <c r="J42" s="32"/>
      <c r="K42" s="32"/>
      <c r="L42" s="58">
        <v>500</v>
      </c>
      <c r="M42" s="32"/>
      <c r="N42" s="32"/>
      <c r="O42" s="32"/>
      <c r="P42" s="32"/>
      <c r="Q42" s="34">
        <f>SUM(C42:P42)</f>
        <v>500</v>
      </c>
      <c r="R42" s="35"/>
    </row>
    <row r="43" spans="1:18" ht="27" customHeight="1">
      <c r="A43" s="30"/>
      <c r="B43" s="31" t="s">
        <v>234</v>
      </c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4">
        <f>SUM(C43:P43)</f>
        <v>0</v>
      </c>
      <c r="R43" s="35"/>
    </row>
    <row r="44" spans="1:18" ht="27" customHeight="1">
      <c r="A44" s="30"/>
      <c r="B44" s="31" t="s">
        <v>203</v>
      </c>
      <c r="C44" s="32"/>
      <c r="D44" s="32"/>
      <c r="E44" s="32"/>
      <c r="F44" s="32"/>
      <c r="G44" s="32"/>
      <c r="H44" s="32"/>
      <c r="I44" s="32"/>
      <c r="J44" s="32"/>
      <c r="K44" s="32"/>
      <c r="L44" s="32">
        <v>1000</v>
      </c>
      <c r="M44" s="32"/>
      <c r="N44" s="32"/>
      <c r="O44" s="32"/>
      <c r="P44" s="32"/>
      <c r="Q44" s="34">
        <f>SUM(C44:P44)</f>
        <v>1000</v>
      </c>
      <c r="R44" s="35"/>
    </row>
    <row r="45" spans="1:18" ht="27" customHeight="1" thickBot="1">
      <c r="A45" s="30"/>
      <c r="B45" s="36" t="s">
        <v>72</v>
      </c>
      <c r="C45" s="42">
        <v>900</v>
      </c>
      <c r="D45" s="37"/>
      <c r="E45" s="37"/>
      <c r="F45" s="37"/>
      <c r="G45" s="37"/>
      <c r="H45" s="37"/>
      <c r="I45" s="37"/>
      <c r="J45" s="43">
        <v>1000</v>
      </c>
      <c r="K45" s="37"/>
      <c r="L45" s="43"/>
      <c r="M45" s="37"/>
      <c r="N45" s="37"/>
      <c r="O45" s="37"/>
      <c r="P45" s="37"/>
      <c r="Q45" s="38">
        <f>SUM(C45:P45)</f>
        <v>1900</v>
      </c>
      <c r="R45" s="39"/>
    </row>
    <row r="46" spans="1:18" ht="27" customHeight="1">
      <c r="A46" s="30" t="s">
        <v>73</v>
      </c>
      <c r="B46" s="24" t="s">
        <v>235</v>
      </c>
      <c r="C46" s="25"/>
      <c r="D46" s="25"/>
      <c r="E46" s="25"/>
      <c r="F46" s="25"/>
      <c r="G46" s="25"/>
      <c r="H46" s="25"/>
      <c r="I46" s="25"/>
      <c r="J46" s="25"/>
      <c r="K46" s="25"/>
      <c r="L46" s="26">
        <v>500</v>
      </c>
      <c r="M46" s="25"/>
      <c r="N46" s="25"/>
      <c r="O46" s="25"/>
      <c r="P46" s="25"/>
      <c r="Q46" s="28">
        <f>SUM(C46:P46)</f>
        <v>500</v>
      </c>
      <c r="R46" s="29"/>
    </row>
    <row r="47" spans="1:18" ht="27" customHeight="1">
      <c r="A47" s="30"/>
      <c r="B47" s="31" t="s">
        <v>74</v>
      </c>
      <c r="C47" s="32"/>
      <c r="D47" s="32"/>
      <c r="E47" s="32"/>
      <c r="F47" s="32"/>
      <c r="G47" s="32"/>
      <c r="H47" s="32"/>
      <c r="I47" s="32"/>
      <c r="J47" s="32"/>
      <c r="K47" s="32"/>
      <c r="L47" s="32">
        <v>1000</v>
      </c>
      <c r="M47" s="32"/>
      <c r="N47" s="32"/>
      <c r="O47" s="32"/>
      <c r="P47" s="32"/>
      <c r="Q47" s="34">
        <f>SUM(C47:P47)</f>
        <v>1000</v>
      </c>
      <c r="R47" s="35"/>
    </row>
    <row r="48" spans="1:18" ht="27" customHeight="1">
      <c r="A48" s="30"/>
      <c r="B48" s="31" t="s">
        <v>75</v>
      </c>
      <c r="C48" s="32"/>
      <c r="D48" s="32"/>
      <c r="E48" s="32"/>
      <c r="F48" s="32"/>
      <c r="G48" s="32"/>
      <c r="H48" s="32"/>
      <c r="I48" s="32"/>
      <c r="J48" s="32"/>
      <c r="K48" s="32"/>
      <c r="L48" s="32">
        <v>1000</v>
      </c>
      <c r="M48" s="32"/>
      <c r="N48" s="32"/>
      <c r="O48" s="32"/>
      <c r="P48" s="32"/>
      <c r="Q48" s="34">
        <f>SUM(C48:P48)</f>
        <v>1000</v>
      </c>
      <c r="R48" s="35"/>
    </row>
    <row r="49" spans="1:18" ht="27" customHeight="1">
      <c r="A49" s="30"/>
      <c r="B49" s="31" t="s">
        <v>76</v>
      </c>
      <c r="C49" s="32"/>
      <c r="D49" s="32"/>
      <c r="E49" s="32"/>
      <c r="F49" s="32"/>
      <c r="G49" s="32"/>
      <c r="H49" s="32"/>
      <c r="I49" s="32"/>
      <c r="J49" s="32"/>
      <c r="K49" s="32"/>
      <c r="L49" s="33">
        <v>1000</v>
      </c>
      <c r="M49" s="32"/>
      <c r="N49" s="32"/>
      <c r="O49" s="32"/>
      <c r="P49" s="32"/>
      <c r="Q49" s="34">
        <f t="shared" ref="Q49:Q56" si="1">SUM(C49:P49)</f>
        <v>1000</v>
      </c>
      <c r="R49" s="35"/>
    </row>
    <row r="50" spans="1:18" ht="27" customHeight="1">
      <c r="A50" s="30"/>
      <c r="B50" s="31" t="s">
        <v>77</v>
      </c>
      <c r="C50" s="32"/>
      <c r="D50" s="32"/>
      <c r="E50" s="32"/>
      <c r="F50" s="32"/>
      <c r="G50" s="32"/>
      <c r="H50" s="32"/>
      <c r="I50" s="32"/>
      <c r="J50" s="32"/>
      <c r="K50" s="32"/>
      <c r="L50" s="32">
        <v>0</v>
      </c>
      <c r="M50" s="32"/>
      <c r="N50" s="32"/>
      <c r="O50" s="32"/>
      <c r="P50" s="32"/>
      <c r="Q50" s="34">
        <f t="shared" si="1"/>
        <v>0</v>
      </c>
      <c r="R50" s="35"/>
    </row>
    <row r="51" spans="1:18" ht="27" customHeight="1">
      <c r="A51" s="30"/>
      <c r="B51" s="31" t="s">
        <v>78</v>
      </c>
      <c r="C51" s="32"/>
      <c r="D51" s="32"/>
      <c r="E51" s="32"/>
      <c r="F51" s="32"/>
      <c r="G51" s="32"/>
      <c r="H51" s="32"/>
      <c r="I51" s="32"/>
      <c r="J51" s="32"/>
      <c r="K51" s="32"/>
      <c r="L51" s="33">
        <v>0</v>
      </c>
      <c r="M51" s="32"/>
      <c r="N51" s="32"/>
      <c r="O51" s="32"/>
      <c r="P51" s="32"/>
      <c r="Q51" s="34">
        <f t="shared" si="1"/>
        <v>0</v>
      </c>
      <c r="R51" s="35"/>
    </row>
    <row r="52" spans="1:18" ht="27" customHeight="1">
      <c r="A52" s="30"/>
      <c r="B52" s="31" t="s">
        <v>79</v>
      </c>
      <c r="C52" s="32"/>
      <c r="D52" s="32"/>
      <c r="E52" s="32"/>
      <c r="F52" s="32"/>
      <c r="G52" s="32"/>
      <c r="H52" s="32"/>
      <c r="I52" s="32"/>
      <c r="J52" s="32"/>
      <c r="K52" s="32"/>
      <c r="L52" s="33">
        <v>100</v>
      </c>
      <c r="M52" s="32"/>
      <c r="N52" s="32"/>
      <c r="O52" s="32"/>
      <c r="P52" s="32"/>
      <c r="Q52" s="34">
        <f t="shared" si="1"/>
        <v>100</v>
      </c>
      <c r="R52" s="35"/>
    </row>
    <row r="53" spans="1:18" ht="27" customHeight="1">
      <c r="A53" s="30"/>
      <c r="B53" s="31" t="s">
        <v>80</v>
      </c>
      <c r="C53" s="40">
        <v>2000</v>
      </c>
      <c r="D53" s="32"/>
      <c r="E53" s="32"/>
      <c r="F53" s="32"/>
      <c r="G53" s="32"/>
      <c r="H53" s="32"/>
      <c r="I53" s="32"/>
      <c r="J53" s="32"/>
      <c r="K53" s="32"/>
      <c r="L53" s="33">
        <v>1000</v>
      </c>
      <c r="M53" s="32"/>
      <c r="N53" s="40">
        <v>3000</v>
      </c>
      <c r="O53" s="32"/>
      <c r="P53" s="32"/>
      <c r="Q53" s="34">
        <f t="shared" si="1"/>
        <v>6000</v>
      </c>
      <c r="R53" s="35"/>
    </row>
    <row r="54" spans="1:18" ht="27" customHeight="1">
      <c r="A54" s="30"/>
      <c r="B54" s="31" t="s">
        <v>81</v>
      </c>
      <c r="C54" s="32"/>
      <c r="D54" s="32"/>
      <c r="E54" s="32"/>
      <c r="F54" s="32"/>
      <c r="G54" s="32"/>
      <c r="H54" s="32"/>
      <c r="I54" s="32"/>
      <c r="J54" s="32"/>
      <c r="K54" s="32"/>
      <c r="L54" s="33">
        <v>0</v>
      </c>
      <c r="M54" s="32"/>
      <c r="N54" s="32"/>
      <c r="O54" s="32"/>
      <c r="P54" s="32"/>
      <c r="Q54" s="34">
        <f t="shared" si="1"/>
        <v>0</v>
      </c>
      <c r="R54" s="35"/>
    </row>
    <row r="55" spans="1:18" ht="27" customHeight="1">
      <c r="A55" s="30"/>
      <c r="B55" s="31" t="s">
        <v>236</v>
      </c>
      <c r="C55" s="32"/>
      <c r="D55" s="32"/>
      <c r="E55" s="32"/>
      <c r="F55" s="32"/>
      <c r="G55" s="32"/>
      <c r="H55" s="32"/>
      <c r="I55" s="32"/>
      <c r="J55" s="32"/>
      <c r="K55" s="32"/>
      <c r="L55" s="32">
        <v>500</v>
      </c>
      <c r="M55" s="32"/>
      <c r="N55" s="32"/>
      <c r="O55" s="32"/>
      <c r="P55" s="32"/>
      <c r="Q55" s="34">
        <f t="shared" si="1"/>
        <v>500</v>
      </c>
      <c r="R55" s="35"/>
    </row>
    <row r="56" spans="1:18" ht="27" customHeight="1">
      <c r="A56" s="30"/>
      <c r="B56" s="31" t="s">
        <v>203</v>
      </c>
      <c r="C56" s="32"/>
      <c r="D56" s="32"/>
      <c r="E56" s="32"/>
      <c r="F56" s="32"/>
      <c r="G56" s="32"/>
      <c r="H56" s="32"/>
      <c r="I56" s="32"/>
      <c r="J56" s="32"/>
      <c r="K56" s="32"/>
      <c r="L56" s="33">
        <v>1000</v>
      </c>
      <c r="M56" s="32"/>
      <c r="N56" s="32"/>
      <c r="O56" s="32"/>
      <c r="P56" s="32"/>
      <c r="Q56" s="34">
        <f t="shared" si="1"/>
        <v>1000</v>
      </c>
      <c r="R56" s="35"/>
    </row>
    <row r="57" spans="1:18" ht="27" customHeight="1" thickBot="1">
      <c r="A57" s="30"/>
      <c r="B57" s="36" t="s">
        <v>82</v>
      </c>
      <c r="C57" s="42">
        <v>900</v>
      </c>
      <c r="D57" s="37"/>
      <c r="E57" s="37"/>
      <c r="F57" s="37"/>
      <c r="G57" s="37"/>
      <c r="H57" s="37"/>
      <c r="I57" s="43">
        <v>3000</v>
      </c>
      <c r="J57" s="37"/>
      <c r="K57" s="37"/>
      <c r="L57" s="43"/>
      <c r="M57" s="37"/>
      <c r="N57" s="37"/>
      <c r="O57" s="37"/>
      <c r="P57" s="37"/>
      <c r="Q57" s="38">
        <f t="shared" ref="Q57:Q69" si="2">SUM(C57:P57)</f>
        <v>3900</v>
      </c>
      <c r="R57" s="39"/>
    </row>
    <row r="58" spans="1:18" ht="27" customHeight="1">
      <c r="A58" s="30" t="s">
        <v>83</v>
      </c>
      <c r="B58" s="24" t="s">
        <v>84</v>
      </c>
      <c r="C58" s="25"/>
      <c r="D58" s="25"/>
      <c r="E58" s="25"/>
      <c r="F58" s="25"/>
      <c r="G58" s="25"/>
      <c r="H58" s="25"/>
      <c r="I58" s="25"/>
      <c r="J58" s="25"/>
      <c r="K58" s="27">
        <v>3</v>
      </c>
      <c r="L58" s="26">
        <v>5</v>
      </c>
      <c r="M58" s="27">
        <v>7</v>
      </c>
      <c r="N58" s="25"/>
      <c r="O58" s="25"/>
      <c r="P58" s="25"/>
      <c r="Q58" s="28">
        <f t="shared" si="2"/>
        <v>15</v>
      </c>
      <c r="R58" s="29"/>
    </row>
    <row r="59" spans="1:18" ht="27" customHeight="1">
      <c r="A59" s="30"/>
      <c r="B59" s="31" t="s">
        <v>85</v>
      </c>
      <c r="C59" s="32"/>
      <c r="D59" s="32"/>
      <c r="E59" s="32"/>
      <c r="F59" s="32"/>
      <c r="G59" s="32"/>
      <c r="H59" s="32"/>
      <c r="I59" s="32"/>
      <c r="J59" s="32"/>
      <c r="K59" s="40">
        <v>5</v>
      </c>
      <c r="L59" s="33">
        <v>5</v>
      </c>
      <c r="M59" s="40">
        <v>2</v>
      </c>
      <c r="N59" s="32"/>
      <c r="O59" s="32"/>
      <c r="P59" s="32"/>
      <c r="Q59" s="34">
        <f t="shared" si="2"/>
        <v>12</v>
      </c>
      <c r="R59" s="35"/>
    </row>
    <row r="60" spans="1:18" ht="27" customHeight="1">
      <c r="A60" s="30"/>
      <c r="B60" s="31" t="s">
        <v>86</v>
      </c>
      <c r="C60" s="32"/>
      <c r="D60" s="32"/>
      <c r="E60" s="33">
        <v>8</v>
      </c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4">
        <f t="shared" si="2"/>
        <v>8</v>
      </c>
      <c r="R60" s="35"/>
    </row>
    <row r="61" spans="1:18" ht="27" customHeight="1">
      <c r="A61" s="30"/>
      <c r="B61" s="31" t="s">
        <v>87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40">
        <v>10</v>
      </c>
      <c r="N61" s="32"/>
      <c r="O61" s="32"/>
      <c r="P61" s="32"/>
      <c r="Q61" s="34">
        <f t="shared" si="2"/>
        <v>10</v>
      </c>
      <c r="R61" s="35"/>
    </row>
    <row r="62" spans="1:18" ht="27" customHeight="1">
      <c r="A62" s="30"/>
      <c r="B62" s="31" t="s">
        <v>237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4">
        <f t="shared" si="2"/>
        <v>0</v>
      </c>
      <c r="R62" s="35"/>
    </row>
    <row r="63" spans="1:18" ht="27" customHeight="1">
      <c r="A63" s="30"/>
      <c r="B63" s="31" t="s">
        <v>238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4">
        <f t="shared" si="2"/>
        <v>0</v>
      </c>
      <c r="R63" s="35"/>
    </row>
    <row r="64" spans="1:18" ht="27" customHeight="1">
      <c r="A64" s="30"/>
      <c r="B64" s="31" t="s">
        <v>88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4">
        <f t="shared" si="2"/>
        <v>0</v>
      </c>
      <c r="R64" s="35"/>
    </row>
    <row r="65" spans="1:18" ht="27" customHeight="1">
      <c r="A65" s="30"/>
      <c r="B65" s="31" t="s">
        <v>239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4">
        <f t="shared" si="2"/>
        <v>0</v>
      </c>
      <c r="R65" s="35"/>
    </row>
    <row r="66" spans="1:18" ht="27" customHeight="1">
      <c r="A66" s="30"/>
      <c r="B66" s="31" t="s">
        <v>240</v>
      </c>
      <c r="C66" s="32"/>
      <c r="D66" s="32"/>
      <c r="E66" s="32"/>
      <c r="F66" s="32"/>
      <c r="G66" s="32"/>
      <c r="H66" s="32"/>
      <c r="I66" s="32"/>
      <c r="J66" s="32"/>
      <c r="K66" s="32"/>
      <c r="L66" s="40">
        <v>1</v>
      </c>
      <c r="M66" s="32"/>
      <c r="N66" s="32"/>
      <c r="O66" s="32"/>
      <c r="P66" s="32"/>
      <c r="Q66" s="34">
        <f t="shared" si="2"/>
        <v>1</v>
      </c>
      <c r="R66" s="35"/>
    </row>
    <row r="67" spans="1:18" ht="27" customHeight="1">
      <c r="A67" s="30"/>
      <c r="B67" s="31" t="s">
        <v>89</v>
      </c>
      <c r="C67" s="32"/>
      <c r="D67" s="32"/>
      <c r="E67" s="32"/>
      <c r="F67" s="32"/>
      <c r="G67" s="32"/>
      <c r="H67" s="32"/>
      <c r="I67" s="32"/>
      <c r="J67" s="32"/>
      <c r="K67" s="32"/>
      <c r="L67" s="33">
        <v>1</v>
      </c>
      <c r="M67" s="32"/>
      <c r="N67" s="32"/>
      <c r="O67" s="32"/>
      <c r="P67" s="32"/>
      <c r="Q67" s="34">
        <f t="shared" si="2"/>
        <v>1</v>
      </c>
      <c r="R67" s="35"/>
    </row>
    <row r="68" spans="1:18" ht="27" customHeight="1">
      <c r="A68" s="30"/>
      <c r="B68" s="31" t="s">
        <v>90</v>
      </c>
      <c r="C68" s="32"/>
      <c r="D68" s="32"/>
      <c r="E68" s="32"/>
      <c r="F68" s="32"/>
      <c r="G68" s="32"/>
      <c r="H68" s="32"/>
      <c r="I68" s="32"/>
      <c r="J68" s="32"/>
      <c r="K68" s="32"/>
      <c r="L68" s="33">
        <v>14</v>
      </c>
      <c r="M68" s="32"/>
      <c r="N68" s="32"/>
      <c r="O68" s="32"/>
      <c r="P68" s="32"/>
      <c r="Q68" s="34">
        <f t="shared" si="2"/>
        <v>14</v>
      </c>
      <c r="R68" s="35"/>
    </row>
    <row r="69" spans="1:18" ht="27" customHeight="1" thickBot="1">
      <c r="A69" s="30"/>
      <c r="B69" s="36" t="s">
        <v>241</v>
      </c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4">
        <f t="shared" si="2"/>
        <v>0</v>
      </c>
      <c r="R69" s="39"/>
    </row>
    <row r="70" spans="1:18" ht="27" customHeight="1">
      <c r="A70" s="30" t="s">
        <v>91</v>
      </c>
      <c r="B70" s="24" t="s">
        <v>92</v>
      </c>
      <c r="C70" s="25"/>
      <c r="D70" s="25"/>
      <c r="E70" s="25"/>
      <c r="F70" s="25"/>
      <c r="G70" s="25"/>
      <c r="H70" s="26">
        <v>3</v>
      </c>
      <c r="I70" s="25"/>
      <c r="J70" s="25"/>
      <c r="K70" s="27">
        <v>30</v>
      </c>
      <c r="L70" s="25"/>
      <c r="M70" s="25"/>
      <c r="N70" s="25"/>
      <c r="O70" s="25"/>
      <c r="P70" s="25"/>
      <c r="Q70" s="28">
        <f>SUM(C70:P70)</f>
        <v>33</v>
      </c>
      <c r="R70" s="29"/>
    </row>
    <row r="71" spans="1:18" ht="27" customHeight="1" thickBot="1">
      <c r="A71" s="30"/>
      <c r="B71" s="36" t="s">
        <v>93</v>
      </c>
      <c r="C71" s="37"/>
      <c r="D71" s="37"/>
      <c r="E71" s="43">
        <v>3</v>
      </c>
      <c r="F71" s="37"/>
      <c r="G71" s="37"/>
      <c r="H71" s="43">
        <v>7</v>
      </c>
      <c r="I71" s="37"/>
      <c r="J71" s="37"/>
      <c r="K71" s="42">
        <v>30</v>
      </c>
      <c r="L71" s="37"/>
      <c r="M71" s="37"/>
      <c r="N71" s="37"/>
      <c r="O71" s="37"/>
      <c r="P71" s="42">
        <v>3</v>
      </c>
      <c r="Q71" s="38">
        <f>SUM(C71:P71)</f>
        <v>43</v>
      </c>
      <c r="R71" s="39"/>
    </row>
    <row r="72" spans="1:18" ht="27" customHeight="1">
      <c r="A72" s="30" t="s">
        <v>94</v>
      </c>
      <c r="B72" s="24" t="s">
        <v>95</v>
      </c>
      <c r="C72" s="25"/>
      <c r="D72" s="25"/>
      <c r="E72" s="25"/>
      <c r="F72" s="25"/>
      <c r="G72" s="25"/>
      <c r="H72" s="25"/>
      <c r="I72" s="25"/>
      <c r="J72" s="25"/>
      <c r="K72" s="25"/>
      <c r="L72" s="26">
        <v>50</v>
      </c>
      <c r="M72" s="27">
        <v>50</v>
      </c>
      <c r="N72" s="25"/>
      <c r="O72" s="25"/>
      <c r="P72" s="25"/>
      <c r="Q72" s="28">
        <f>SUM(C72:P72)</f>
        <v>100</v>
      </c>
      <c r="R72" s="29"/>
    </row>
    <row r="73" spans="1:18" ht="27" customHeight="1">
      <c r="A73" s="30"/>
      <c r="B73" s="31" t="s">
        <v>96</v>
      </c>
      <c r="C73" s="32"/>
      <c r="D73" s="32"/>
      <c r="E73" s="32"/>
      <c r="F73" s="32"/>
      <c r="G73" s="32"/>
      <c r="H73" s="32"/>
      <c r="I73" s="33">
        <v>3510</v>
      </c>
      <c r="J73" s="32"/>
      <c r="K73" s="32"/>
      <c r="L73" s="33">
        <v>30</v>
      </c>
      <c r="M73" s="32"/>
      <c r="N73" s="32"/>
      <c r="O73" s="32"/>
      <c r="P73" s="40">
        <v>5</v>
      </c>
      <c r="Q73" s="34">
        <f>SUM(C73:P73)</f>
        <v>3545</v>
      </c>
      <c r="R73" s="35"/>
    </row>
    <row r="74" spans="1:18" ht="27" customHeight="1">
      <c r="A74" s="30"/>
      <c r="B74" s="31" t="s">
        <v>242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4">
        <f t="shared" ref="Q74:Q80" si="3">SUM(C74:P74)</f>
        <v>0</v>
      </c>
      <c r="R74" s="35"/>
    </row>
    <row r="75" spans="1:18" ht="27" customHeight="1">
      <c r="A75" s="30"/>
      <c r="B75" s="31" t="s">
        <v>243</v>
      </c>
      <c r="C75" s="32"/>
      <c r="D75" s="32"/>
      <c r="E75" s="44" t="s">
        <v>97</v>
      </c>
      <c r="F75" s="32"/>
      <c r="G75" s="32"/>
      <c r="H75" s="32"/>
      <c r="I75" s="32"/>
      <c r="J75" s="32"/>
      <c r="K75" s="32"/>
      <c r="L75" s="44" t="s">
        <v>98</v>
      </c>
      <c r="M75" s="45" t="s">
        <v>99</v>
      </c>
      <c r="N75" s="32"/>
      <c r="O75" s="32"/>
      <c r="P75" s="32"/>
      <c r="Q75" s="34">
        <f t="shared" si="3"/>
        <v>0</v>
      </c>
      <c r="R75" s="35"/>
    </row>
    <row r="76" spans="1:18" ht="27" customHeight="1">
      <c r="A76" s="30"/>
      <c r="B76" s="31" t="s">
        <v>244</v>
      </c>
      <c r="C76" s="32"/>
      <c r="D76" s="32"/>
      <c r="E76" s="44" t="s">
        <v>97</v>
      </c>
      <c r="F76" s="32"/>
      <c r="G76" s="32"/>
      <c r="H76" s="32"/>
      <c r="I76" s="32"/>
      <c r="J76" s="32"/>
      <c r="K76" s="32"/>
      <c r="L76" s="44" t="s">
        <v>100</v>
      </c>
      <c r="M76" s="32"/>
      <c r="N76" s="32"/>
      <c r="O76" s="32"/>
      <c r="P76" s="32"/>
      <c r="Q76" s="34">
        <f t="shared" si="3"/>
        <v>0</v>
      </c>
      <c r="R76" s="35"/>
    </row>
    <row r="77" spans="1:18" ht="27" customHeight="1">
      <c r="A77" s="30"/>
      <c r="B77" s="31" t="s">
        <v>245</v>
      </c>
      <c r="C77" s="32"/>
      <c r="D77" s="32"/>
      <c r="E77" s="32"/>
      <c r="F77" s="32"/>
      <c r="G77" s="32"/>
      <c r="H77" s="33"/>
      <c r="I77" s="32"/>
      <c r="J77" s="32"/>
      <c r="K77" s="32"/>
      <c r="L77" s="33">
        <v>1000</v>
      </c>
      <c r="M77" s="32"/>
      <c r="N77" s="32"/>
      <c r="O77" s="32"/>
      <c r="P77" s="32"/>
      <c r="Q77" s="34">
        <f t="shared" si="3"/>
        <v>1000</v>
      </c>
      <c r="R77" s="35"/>
    </row>
    <row r="78" spans="1:18" ht="27" customHeight="1">
      <c r="A78" s="30"/>
      <c r="B78" s="31" t="s">
        <v>101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4">
        <f t="shared" si="3"/>
        <v>0</v>
      </c>
      <c r="R78" s="35"/>
    </row>
    <row r="79" spans="1:18" ht="27" customHeight="1">
      <c r="A79" s="30"/>
      <c r="B79" s="31" t="s">
        <v>246</v>
      </c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4">
        <f t="shared" si="3"/>
        <v>0</v>
      </c>
      <c r="R79" s="35"/>
    </row>
    <row r="80" spans="1:18" ht="27" customHeight="1">
      <c r="A80" s="30"/>
      <c r="B80" s="31" t="s">
        <v>102</v>
      </c>
      <c r="C80" s="32"/>
      <c r="D80" s="32"/>
      <c r="E80" s="32"/>
      <c r="F80" s="32"/>
      <c r="G80" s="32"/>
      <c r="H80" s="33">
        <v>500</v>
      </c>
      <c r="I80" s="32"/>
      <c r="J80" s="32"/>
      <c r="K80" s="32"/>
      <c r="L80" s="32"/>
      <c r="M80" s="32"/>
      <c r="N80" s="32"/>
      <c r="O80" s="32"/>
      <c r="P80" s="32"/>
      <c r="Q80" s="34">
        <f t="shared" si="3"/>
        <v>500</v>
      </c>
      <c r="R80" s="35"/>
    </row>
    <row r="81" spans="1:18" ht="27" customHeight="1">
      <c r="A81" s="30"/>
      <c r="B81" s="31" t="s">
        <v>103</v>
      </c>
      <c r="C81" s="32"/>
      <c r="D81" s="32"/>
      <c r="E81" s="32"/>
      <c r="F81" s="32"/>
      <c r="G81" s="32"/>
      <c r="H81" s="33">
        <v>7</v>
      </c>
      <c r="I81" s="32"/>
      <c r="J81" s="32"/>
      <c r="K81" s="40">
        <v>500</v>
      </c>
      <c r="L81" s="33">
        <v>30</v>
      </c>
      <c r="M81" s="40">
        <v>15</v>
      </c>
      <c r="N81" s="32"/>
      <c r="O81" s="32"/>
      <c r="P81" s="32"/>
      <c r="Q81" s="34">
        <f t="shared" ref="Q81:Q97" si="4">SUM(C81:P81)</f>
        <v>552</v>
      </c>
      <c r="R81" s="35"/>
    </row>
    <row r="82" spans="1:18" ht="27" customHeight="1" thickBot="1">
      <c r="A82" s="30"/>
      <c r="B82" s="36" t="s">
        <v>104</v>
      </c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42">
        <v>60</v>
      </c>
      <c r="N82" s="37"/>
      <c r="O82" s="37"/>
      <c r="P82" s="37"/>
      <c r="Q82" s="38">
        <f t="shared" si="4"/>
        <v>60</v>
      </c>
      <c r="R82" s="39"/>
    </row>
    <row r="83" spans="1:18" ht="27" customHeight="1">
      <c r="A83" s="30" t="s">
        <v>105</v>
      </c>
      <c r="B83" s="24" t="s">
        <v>106</v>
      </c>
      <c r="C83" s="25"/>
      <c r="D83" s="25"/>
      <c r="E83" s="25"/>
      <c r="F83" s="25"/>
      <c r="G83" s="25"/>
      <c r="H83" s="25"/>
      <c r="I83" s="25"/>
      <c r="J83" s="25"/>
      <c r="K83" s="27">
        <v>2066</v>
      </c>
      <c r="L83" s="25"/>
      <c r="M83" s="27">
        <v>20000</v>
      </c>
      <c r="N83" s="25"/>
      <c r="O83" s="25"/>
      <c r="P83" s="25"/>
      <c r="Q83" s="28">
        <f t="shared" si="4"/>
        <v>22066</v>
      </c>
      <c r="R83" s="29"/>
    </row>
    <row r="84" spans="1:18" ht="27" customHeight="1">
      <c r="A84" s="30"/>
      <c r="B84" s="31" t="s">
        <v>247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40">
        <v>1000</v>
      </c>
      <c r="N84" s="32"/>
      <c r="O84" s="32"/>
      <c r="P84" s="32"/>
      <c r="Q84" s="34">
        <f t="shared" si="4"/>
        <v>1000</v>
      </c>
      <c r="R84" s="35"/>
    </row>
    <row r="85" spans="1:18" ht="27" customHeight="1">
      <c r="A85" s="30"/>
      <c r="B85" s="31" t="s">
        <v>248</v>
      </c>
      <c r="C85" s="32"/>
      <c r="D85" s="32"/>
      <c r="E85" s="32"/>
      <c r="F85" s="32"/>
      <c r="G85" s="32"/>
      <c r="H85" s="32"/>
      <c r="I85" s="32"/>
      <c r="J85" s="32"/>
      <c r="K85" s="33">
        <v>2000</v>
      </c>
      <c r="L85" s="32"/>
      <c r="M85" s="40">
        <v>3700</v>
      </c>
      <c r="N85" s="32"/>
      <c r="O85" s="32"/>
      <c r="P85" s="32"/>
      <c r="Q85" s="34">
        <f t="shared" si="4"/>
        <v>5700</v>
      </c>
      <c r="R85" s="35"/>
    </row>
    <row r="86" spans="1:18" ht="27" customHeight="1">
      <c r="A86" s="30"/>
      <c r="B86" s="31" t="s">
        <v>249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40">
        <v>500</v>
      </c>
      <c r="N86" s="32"/>
      <c r="O86" s="32"/>
      <c r="P86" s="32"/>
      <c r="Q86" s="34">
        <f t="shared" si="4"/>
        <v>500</v>
      </c>
      <c r="R86" s="35"/>
    </row>
    <row r="87" spans="1:18" ht="27" customHeight="1">
      <c r="A87" s="30"/>
      <c r="B87" s="31" t="s">
        <v>107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40">
        <v>5000</v>
      </c>
      <c r="N87" s="32"/>
      <c r="O87" s="32"/>
      <c r="P87" s="32"/>
      <c r="Q87" s="34">
        <f t="shared" si="4"/>
        <v>5000</v>
      </c>
      <c r="R87" s="35"/>
    </row>
    <row r="88" spans="1:18" ht="27" customHeight="1" thickBot="1">
      <c r="A88" s="30"/>
      <c r="B88" s="36" t="s">
        <v>108</v>
      </c>
      <c r="C88" s="37"/>
      <c r="D88" s="37"/>
      <c r="E88" s="37"/>
      <c r="F88" s="37"/>
      <c r="G88" s="37"/>
      <c r="H88" s="37"/>
      <c r="I88" s="37"/>
      <c r="J88" s="37"/>
      <c r="K88" s="42">
        <v>10</v>
      </c>
      <c r="L88" s="37"/>
      <c r="M88" s="42">
        <v>1340</v>
      </c>
      <c r="N88" s="37"/>
      <c r="O88" s="37"/>
      <c r="P88" s="37"/>
      <c r="Q88" s="38">
        <f t="shared" si="4"/>
        <v>1350</v>
      </c>
      <c r="R88" s="39"/>
    </row>
    <row r="89" spans="1:18" ht="27" customHeight="1" thickBot="1">
      <c r="A89" s="46" t="s">
        <v>109</v>
      </c>
      <c r="B89" s="47" t="s">
        <v>110</v>
      </c>
      <c r="C89" s="48"/>
      <c r="D89" s="48"/>
      <c r="E89" s="48"/>
      <c r="F89" s="48"/>
      <c r="G89" s="48"/>
      <c r="H89" s="48"/>
      <c r="I89" s="48"/>
      <c r="J89" s="48"/>
      <c r="K89" s="52">
        <v>10000</v>
      </c>
      <c r="L89" s="48"/>
      <c r="M89" s="48"/>
      <c r="N89" s="48"/>
      <c r="O89" s="48"/>
      <c r="P89" s="48"/>
      <c r="Q89" s="50">
        <f t="shared" si="4"/>
        <v>10000</v>
      </c>
      <c r="R89" s="51"/>
    </row>
    <row r="90" spans="1:18" ht="27" customHeight="1">
      <c r="A90" s="30" t="s">
        <v>111</v>
      </c>
      <c r="B90" s="24" t="s">
        <v>112</v>
      </c>
      <c r="C90" s="25"/>
      <c r="D90" s="25"/>
      <c r="E90" s="25"/>
      <c r="F90" s="25"/>
      <c r="G90" s="25"/>
      <c r="H90" s="26">
        <v>70</v>
      </c>
      <c r="I90" s="26">
        <v>70</v>
      </c>
      <c r="J90" s="25"/>
      <c r="K90" s="27">
        <v>20</v>
      </c>
      <c r="L90" s="26">
        <v>60</v>
      </c>
      <c r="M90" s="27">
        <v>40</v>
      </c>
      <c r="N90" s="25"/>
      <c r="O90" s="25"/>
      <c r="P90" s="25"/>
      <c r="Q90" s="28">
        <f t="shared" si="4"/>
        <v>260</v>
      </c>
      <c r="R90" s="29"/>
    </row>
    <row r="91" spans="1:18" ht="27" customHeight="1">
      <c r="A91" s="30"/>
      <c r="B91" s="59" t="s">
        <v>257</v>
      </c>
      <c r="C91" s="60"/>
      <c r="D91" s="60"/>
      <c r="E91" s="60"/>
      <c r="F91" s="60"/>
      <c r="G91" s="60"/>
      <c r="H91" s="61"/>
      <c r="I91" s="61"/>
      <c r="J91" s="60"/>
      <c r="K91" s="62"/>
      <c r="L91" s="61"/>
      <c r="M91" s="62"/>
      <c r="N91" s="60"/>
      <c r="O91" s="60"/>
      <c r="P91" s="60"/>
      <c r="Q91" s="63">
        <f t="shared" si="4"/>
        <v>0</v>
      </c>
      <c r="R91" s="35"/>
    </row>
    <row r="92" spans="1:18" ht="27" customHeight="1">
      <c r="A92" s="30"/>
      <c r="B92" s="31" t="s">
        <v>250</v>
      </c>
      <c r="C92" s="32"/>
      <c r="D92" s="32"/>
      <c r="E92" s="32"/>
      <c r="F92" s="32"/>
      <c r="G92" s="32"/>
      <c r="H92" s="32"/>
      <c r="I92" s="32"/>
      <c r="J92" s="32"/>
      <c r="K92" s="40">
        <v>30</v>
      </c>
      <c r="L92" s="32"/>
      <c r="M92" s="40">
        <v>100</v>
      </c>
      <c r="N92" s="32"/>
      <c r="O92" s="32"/>
      <c r="P92" s="32"/>
      <c r="Q92" s="34">
        <f t="shared" si="4"/>
        <v>130</v>
      </c>
      <c r="R92" s="35"/>
    </row>
    <row r="93" spans="1:18" ht="27" customHeight="1" thickBot="1">
      <c r="A93" s="30"/>
      <c r="B93" s="36" t="s">
        <v>246</v>
      </c>
      <c r="C93" s="37"/>
      <c r="D93" s="37"/>
      <c r="E93" s="37"/>
      <c r="F93" s="37"/>
      <c r="G93" s="37"/>
      <c r="H93" s="37"/>
      <c r="I93" s="37"/>
      <c r="J93" s="37"/>
      <c r="K93" s="42">
        <v>50</v>
      </c>
      <c r="L93" s="43">
        <v>50</v>
      </c>
      <c r="M93" s="42">
        <v>50</v>
      </c>
      <c r="N93" s="37"/>
      <c r="O93" s="37"/>
      <c r="P93" s="37"/>
      <c r="Q93" s="38">
        <f t="shared" si="4"/>
        <v>150</v>
      </c>
      <c r="R93" s="39"/>
    </row>
    <row r="94" spans="1:18" ht="27" customHeight="1">
      <c r="A94" s="30" t="s">
        <v>113</v>
      </c>
      <c r="B94" s="24" t="s">
        <v>114</v>
      </c>
      <c r="C94" s="25"/>
      <c r="D94" s="25"/>
      <c r="E94" s="25"/>
      <c r="F94" s="25"/>
      <c r="G94" s="25"/>
      <c r="H94" s="26">
        <v>20</v>
      </c>
      <c r="I94" s="25"/>
      <c r="J94" s="25"/>
      <c r="K94" s="25"/>
      <c r="L94" s="25"/>
      <c r="M94" s="27">
        <v>25</v>
      </c>
      <c r="N94" s="25"/>
      <c r="O94" s="25"/>
      <c r="P94" s="25"/>
      <c r="Q94" s="28">
        <f t="shared" si="4"/>
        <v>45</v>
      </c>
      <c r="R94" s="29"/>
    </row>
    <row r="95" spans="1:18" ht="27" customHeight="1" thickBot="1">
      <c r="A95" s="30"/>
      <c r="B95" s="36" t="s">
        <v>115</v>
      </c>
      <c r="C95" s="37"/>
      <c r="D95" s="37"/>
      <c r="E95" s="37"/>
      <c r="F95" s="37"/>
      <c r="G95" s="37"/>
      <c r="H95" s="43">
        <v>50</v>
      </c>
      <c r="I95" s="37"/>
      <c r="J95" s="37"/>
      <c r="K95" s="43">
        <v>1000</v>
      </c>
      <c r="L95" s="37"/>
      <c r="M95" s="42">
        <v>2030</v>
      </c>
      <c r="N95" s="37"/>
      <c r="O95" s="37"/>
      <c r="P95" s="37"/>
      <c r="Q95" s="38">
        <f t="shared" si="4"/>
        <v>3080</v>
      </c>
      <c r="R95" s="39"/>
    </row>
    <row r="96" spans="1:18" ht="27" customHeight="1" thickBot="1">
      <c r="A96" s="46" t="s">
        <v>116</v>
      </c>
      <c r="B96" s="47" t="s">
        <v>251</v>
      </c>
      <c r="C96" s="48"/>
      <c r="D96" s="49">
        <v>8</v>
      </c>
      <c r="E96" s="48"/>
      <c r="F96" s="48"/>
      <c r="G96" s="48"/>
      <c r="H96" s="48"/>
      <c r="I96" s="48"/>
      <c r="J96" s="48"/>
      <c r="K96" s="48"/>
      <c r="L96" s="49">
        <v>2</v>
      </c>
      <c r="M96" s="52">
        <v>3</v>
      </c>
      <c r="N96" s="48"/>
      <c r="O96" s="48"/>
      <c r="P96" s="48"/>
      <c r="Q96" s="50">
        <f t="shared" si="4"/>
        <v>13</v>
      </c>
      <c r="R96" s="51"/>
    </row>
    <row r="97" spans="1:18" ht="27" customHeight="1" thickBot="1">
      <c r="A97" s="46" t="s">
        <v>117</v>
      </c>
      <c r="B97" s="47" t="s">
        <v>118</v>
      </c>
      <c r="C97" s="48"/>
      <c r="D97" s="48"/>
      <c r="E97" s="48"/>
      <c r="F97" s="48"/>
      <c r="G97" s="48"/>
      <c r="H97" s="49">
        <v>10</v>
      </c>
      <c r="I97" s="48"/>
      <c r="J97" s="48"/>
      <c r="K97" s="48"/>
      <c r="L97" s="49">
        <v>20</v>
      </c>
      <c r="M97" s="52">
        <v>50</v>
      </c>
      <c r="N97" s="48"/>
      <c r="O97" s="48"/>
      <c r="P97" s="48"/>
      <c r="Q97" s="50">
        <f t="shared" si="4"/>
        <v>80</v>
      </c>
      <c r="R97" s="51"/>
    </row>
    <row r="98" spans="1:18" ht="27" customHeight="1">
      <c r="A98" s="30" t="s">
        <v>252</v>
      </c>
      <c r="B98" s="24" t="s">
        <v>253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34">
        <f>SUM(C98:P98)</f>
        <v>0</v>
      </c>
      <c r="R98" s="29"/>
    </row>
    <row r="99" spans="1:18" ht="27" customHeight="1">
      <c r="A99" s="30"/>
      <c r="B99" s="31" t="s">
        <v>119</v>
      </c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4">
        <f>SUM(C99:P99)</f>
        <v>0</v>
      </c>
      <c r="R99" s="35"/>
    </row>
    <row r="100" spans="1:18" ht="27" customHeight="1">
      <c r="A100" s="30"/>
      <c r="B100" s="31" t="s">
        <v>120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40">
        <v>100</v>
      </c>
      <c r="Q100" s="34">
        <f>SUM(C100:P100)</f>
        <v>100</v>
      </c>
      <c r="R100" s="35"/>
    </row>
    <row r="101" spans="1:18" ht="27" customHeight="1" thickBot="1">
      <c r="A101" s="30"/>
      <c r="B101" s="36" t="s">
        <v>121</v>
      </c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42">
        <v>50</v>
      </c>
      <c r="N101" s="37"/>
      <c r="O101" s="37"/>
      <c r="P101" s="42">
        <v>184</v>
      </c>
      <c r="Q101" s="38">
        <f>SUM(C101:P101)</f>
        <v>234</v>
      </c>
      <c r="R101" s="39"/>
    </row>
    <row r="102" spans="1:18" ht="27" customHeight="1">
      <c r="A102" s="30" t="s">
        <v>205</v>
      </c>
      <c r="B102" s="24" t="s">
        <v>206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34">
        <f>SUM(C102:P102)</f>
        <v>0</v>
      </c>
      <c r="R102" s="29"/>
    </row>
    <row r="103" spans="1:18" ht="27" customHeight="1">
      <c r="A103" s="30"/>
      <c r="B103" s="31" t="s">
        <v>207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4">
        <f>SUM(C103:P103)</f>
        <v>0</v>
      </c>
      <c r="R103" s="35"/>
    </row>
    <row r="104" spans="1:18" ht="27" customHeight="1">
      <c r="A104" s="30"/>
      <c r="B104" s="31" t="s">
        <v>122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4">
        <f t="shared" ref="Q104:Q105" si="5">SUM(C104:P104)</f>
        <v>0</v>
      </c>
      <c r="R104" s="35"/>
    </row>
    <row r="105" spans="1:18" ht="27" customHeight="1" thickBot="1">
      <c r="A105" s="30"/>
      <c r="B105" s="53" t="s">
        <v>123</v>
      </c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5">
        <f t="shared" si="5"/>
        <v>0</v>
      </c>
      <c r="R105" s="39"/>
    </row>
    <row r="106" spans="1:18" ht="27" customHeight="1">
      <c r="A106" s="30" t="s">
        <v>124</v>
      </c>
      <c r="B106" s="24" t="s">
        <v>125</v>
      </c>
      <c r="C106" s="25"/>
      <c r="D106" s="25"/>
      <c r="E106" s="25"/>
      <c r="F106" s="25"/>
      <c r="G106" s="25"/>
      <c r="H106" s="25"/>
      <c r="I106" s="25"/>
      <c r="J106" s="25"/>
      <c r="K106" s="26">
        <v>5000</v>
      </c>
      <c r="L106" s="25"/>
      <c r="M106" s="25"/>
      <c r="N106" s="25"/>
      <c r="O106" s="25"/>
      <c r="P106" s="25"/>
      <c r="Q106" s="28">
        <f>SUM(C106:P106)</f>
        <v>5000</v>
      </c>
      <c r="R106" s="29"/>
    </row>
    <row r="107" spans="1:18" ht="27" customHeight="1">
      <c r="A107" s="30"/>
      <c r="B107" s="31" t="s">
        <v>126</v>
      </c>
      <c r="C107" s="32"/>
      <c r="D107" s="32"/>
      <c r="E107" s="32"/>
      <c r="F107" s="32"/>
      <c r="G107" s="32"/>
      <c r="H107" s="32"/>
      <c r="I107" s="32"/>
      <c r="J107" s="32"/>
      <c r="K107" s="33">
        <v>30</v>
      </c>
      <c r="L107" s="32"/>
      <c r="M107" s="32"/>
      <c r="N107" s="32"/>
      <c r="O107" s="32"/>
      <c r="P107" s="32"/>
      <c r="Q107" s="34">
        <f>SUM(C107:P107)</f>
        <v>30</v>
      </c>
      <c r="R107" s="35"/>
    </row>
    <row r="108" spans="1:18" ht="27" customHeight="1">
      <c r="A108" s="30"/>
      <c r="B108" s="31" t="s">
        <v>254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4">
        <f t="shared" ref="Q108:Q111" si="6">SUM(C108:P108)</f>
        <v>0</v>
      </c>
      <c r="R108" s="35"/>
    </row>
    <row r="109" spans="1:18" ht="27" customHeight="1">
      <c r="A109" s="30"/>
      <c r="B109" s="31" t="s">
        <v>127</v>
      </c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40">
        <v>10</v>
      </c>
      <c r="N109" s="32"/>
      <c r="O109" s="32"/>
      <c r="P109" s="32"/>
      <c r="Q109" s="34">
        <f t="shared" si="6"/>
        <v>10</v>
      </c>
      <c r="R109" s="35"/>
    </row>
    <row r="110" spans="1:18" ht="27" customHeight="1">
      <c r="A110" s="30"/>
      <c r="B110" s="31" t="s">
        <v>128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4">
        <f t="shared" si="6"/>
        <v>0</v>
      </c>
      <c r="R110" s="35"/>
    </row>
    <row r="111" spans="1:18" ht="27" customHeight="1" thickBot="1">
      <c r="A111" s="56"/>
      <c r="B111" s="36" t="s">
        <v>129</v>
      </c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8">
        <f t="shared" si="6"/>
        <v>0</v>
      </c>
      <c r="R111" s="39"/>
    </row>
  </sheetData>
  <mergeCells count="29">
    <mergeCell ref="R94:R95"/>
    <mergeCell ref="R98:R101"/>
    <mergeCell ref="R102:R105"/>
    <mergeCell ref="R106:R111"/>
    <mergeCell ref="R58:R69"/>
    <mergeCell ref="R70:R71"/>
    <mergeCell ref="R72:R82"/>
    <mergeCell ref="R83:R88"/>
    <mergeCell ref="R90:R93"/>
    <mergeCell ref="R8:R12"/>
    <mergeCell ref="R13:R17"/>
    <mergeCell ref="R18:R37"/>
    <mergeCell ref="R38:R45"/>
    <mergeCell ref="R46:R57"/>
    <mergeCell ref="A90:A93"/>
    <mergeCell ref="A94:A95"/>
    <mergeCell ref="A98:A101"/>
    <mergeCell ref="A102:A105"/>
    <mergeCell ref="A106:A111"/>
    <mergeCell ref="A46:A57"/>
    <mergeCell ref="A58:A69"/>
    <mergeCell ref="A70:A71"/>
    <mergeCell ref="A72:A82"/>
    <mergeCell ref="A83:A88"/>
    <mergeCell ref="A1:B7"/>
    <mergeCell ref="A8:A12"/>
    <mergeCell ref="A13:A17"/>
    <mergeCell ref="A18:A37"/>
    <mergeCell ref="A38:A45"/>
  </mergeCells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6"/>
  <sheetViews>
    <sheetView zoomScaleNormal="100" workbookViewId="0"/>
  </sheetViews>
  <sheetFormatPr defaultColWidth="8.6640625" defaultRowHeight="14.4"/>
  <cols>
    <col min="1" max="1" width="12" customWidth="1"/>
    <col min="2" max="2" width="48" customWidth="1"/>
    <col min="3" max="3" width="12" customWidth="1"/>
  </cols>
  <sheetData>
    <row r="1" spans="1:3">
      <c r="A1" s="1" t="s">
        <v>130</v>
      </c>
    </row>
    <row r="3" spans="1:3">
      <c r="A3" s="2" t="s">
        <v>131</v>
      </c>
      <c r="B3" s="2" t="s">
        <v>132</v>
      </c>
      <c r="C3" s="2" t="s">
        <v>133</v>
      </c>
    </row>
    <row r="4" spans="1:3">
      <c r="A4" s="3" t="s">
        <v>134</v>
      </c>
      <c r="B4" t="s">
        <v>135</v>
      </c>
      <c r="C4" s="3" t="s">
        <v>136</v>
      </c>
    </row>
    <row r="5" spans="1:3">
      <c r="A5" s="3" t="s">
        <v>134</v>
      </c>
      <c r="B5" s="3" t="s">
        <v>137</v>
      </c>
      <c r="C5" s="3" t="s">
        <v>138</v>
      </c>
    </row>
    <row r="6" spans="1:3">
      <c r="A6" s="3" t="s">
        <v>139</v>
      </c>
      <c r="B6" s="3" t="s">
        <v>140</v>
      </c>
      <c r="C6" s="3" t="s">
        <v>141</v>
      </c>
    </row>
    <row r="7" spans="1:3">
      <c r="A7" s="3" t="s">
        <v>142</v>
      </c>
      <c r="B7" t="s">
        <v>143</v>
      </c>
    </row>
    <row r="8" spans="1:3">
      <c r="A8" s="3" t="s">
        <v>2</v>
      </c>
    </row>
    <row r="9" spans="1:3">
      <c r="B9" s="3" t="s">
        <v>144</v>
      </c>
      <c r="C9" t="s">
        <v>145</v>
      </c>
    </row>
    <row r="10" spans="1:3">
      <c r="B10" s="3" t="s">
        <v>146</v>
      </c>
      <c r="C10" t="s">
        <v>147</v>
      </c>
    </row>
    <row r="11" spans="1:3">
      <c r="A11" s="3" t="s">
        <v>2</v>
      </c>
    </row>
    <row r="12" spans="1:3">
      <c r="B12" t="s">
        <v>148</v>
      </c>
      <c r="C12" t="s">
        <v>149</v>
      </c>
    </row>
    <row r="13" spans="1:3">
      <c r="B13" s="3" t="s">
        <v>150</v>
      </c>
      <c r="C13" t="s">
        <v>151</v>
      </c>
    </row>
    <row r="14" spans="1:3">
      <c r="B14" s="3" t="s">
        <v>152</v>
      </c>
      <c r="C14" t="s">
        <v>153</v>
      </c>
    </row>
    <row r="15" spans="1:3">
      <c r="B15" s="3" t="s">
        <v>154</v>
      </c>
      <c r="C15" t="s">
        <v>155</v>
      </c>
    </row>
    <row r="16" spans="1:3">
      <c r="B16" s="3" t="s">
        <v>156</v>
      </c>
      <c r="C16" t="s">
        <v>153</v>
      </c>
    </row>
    <row r="17" spans="1:3">
      <c r="B17" s="3" t="s">
        <v>157</v>
      </c>
      <c r="C17" t="s">
        <v>155</v>
      </c>
    </row>
    <row r="18" spans="1:3">
      <c r="B18" s="3" t="s">
        <v>158</v>
      </c>
      <c r="C18" t="s">
        <v>159</v>
      </c>
    </row>
    <row r="19" spans="1:3">
      <c r="A19" s="3" t="s">
        <v>3</v>
      </c>
    </row>
    <row r="20" spans="1:3">
      <c r="B20" s="3" t="s">
        <v>160</v>
      </c>
      <c r="C20" t="s">
        <v>159</v>
      </c>
    </row>
    <row r="21" spans="1:3">
      <c r="B21" s="3" t="s">
        <v>161</v>
      </c>
      <c r="C21" t="s">
        <v>162</v>
      </c>
    </row>
    <row r="22" spans="1:3">
      <c r="B22" s="3" t="s">
        <v>163</v>
      </c>
      <c r="C22" t="s">
        <v>162</v>
      </c>
    </row>
    <row r="23" spans="1:3">
      <c r="A23" s="3" t="s">
        <v>4</v>
      </c>
    </row>
    <row r="24" spans="1:3">
      <c r="B24" s="3" t="s">
        <v>164</v>
      </c>
      <c r="C24" t="s">
        <v>149</v>
      </c>
    </row>
    <row r="25" spans="1:3">
      <c r="B25" s="3" t="s">
        <v>165</v>
      </c>
      <c r="C25" t="s">
        <v>155</v>
      </c>
    </row>
    <row r="26" spans="1:3">
      <c r="A26" s="3" t="s">
        <v>5</v>
      </c>
    </row>
    <row r="27" spans="1:3">
      <c r="B27" t="s">
        <v>166</v>
      </c>
      <c r="C27" t="s">
        <v>153</v>
      </c>
    </row>
    <row r="28" spans="1:3">
      <c r="B28" t="s">
        <v>167</v>
      </c>
      <c r="C28" t="s">
        <v>168</v>
      </c>
    </row>
    <row r="29" spans="1:3">
      <c r="A29" s="3" t="s">
        <v>5</v>
      </c>
    </row>
    <row r="30" spans="1:3">
      <c r="B30" t="s">
        <v>169</v>
      </c>
      <c r="C30" t="s">
        <v>162</v>
      </c>
    </row>
    <row r="31" spans="1:3">
      <c r="A31" t="s">
        <v>170</v>
      </c>
    </row>
    <row r="32" spans="1:3">
      <c r="B32" s="3" t="s">
        <v>171</v>
      </c>
      <c r="C32" t="s">
        <v>172</v>
      </c>
    </row>
    <row r="33" spans="2:3">
      <c r="B33" s="3" t="s">
        <v>173</v>
      </c>
      <c r="C33" t="s">
        <v>174</v>
      </c>
    </row>
    <row r="34" spans="2:3">
      <c r="B34" s="3" t="s">
        <v>175</v>
      </c>
      <c r="C34" t="s">
        <v>151</v>
      </c>
    </row>
    <row r="35" spans="2:3">
      <c r="B35" s="3" t="s">
        <v>176</v>
      </c>
      <c r="C35" t="s">
        <v>155</v>
      </c>
    </row>
    <row r="36" spans="2:3">
      <c r="B36" s="3" t="s">
        <v>177</v>
      </c>
      <c r="C36" t="s">
        <v>155</v>
      </c>
    </row>
    <row r="37" spans="2:3">
      <c r="B37" s="3" t="s">
        <v>178</v>
      </c>
      <c r="C37" t="s">
        <v>155</v>
      </c>
    </row>
    <row r="38" spans="2:3">
      <c r="B38" s="3" t="s">
        <v>179</v>
      </c>
      <c r="C38" t="s">
        <v>151</v>
      </c>
    </row>
    <row r="39" spans="2:3">
      <c r="B39" s="3" t="s">
        <v>180</v>
      </c>
      <c r="C39" t="s">
        <v>151</v>
      </c>
    </row>
    <row r="40" spans="2:3">
      <c r="B40" s="3" t="s">
        <v>181</v>
      </c>
      <c r="C40" t="s">
        <v>151</v>
      </c>
    </row>
    <row r="41" spans="2:3">
      <c r="B41" s="3" t="s">
        <v>182</v>
      </c>
      <c r="C41" t="s">
        <v>151</v>
      </c>
    </row>
    <row r="42" spans="2:3">
      <c r="B42" s="3" t="s">
        <v>183</v>
      </c>
      <c r="C42" t="s">
        <v>151</v>
      </c>
    </row>
    <row r="43" spans="2:3">
      <c r="B43" s="3" t="s">
        <v>184</v>
      </c>
      <c r="C43" t="s">
        <v>172</v>
      </c>
    </row>
    <row r="44" spans="2:3">
      <c r="B44" s="3" t="s">
        <v>185</v>
      </c>
      <c r="C44" t="s">
        <v>155</v>
      </c>
    </row>
    <row r="45" spans="2:3">
      <c r="B45" s="3" t="s">
        <v>186</v>
      </c>
      <c r="C45" t="s">
        <v>162</v>
      </c>
    </row>
    <row r="46" spans="2:3">
      <c r="B46" s="3" t="s">
        <v>187</v>
      </c>
      <c r="C46" t="s">
        <v>172</v>
      </c>
    </row>
    <row r="47" spans="2:3">
      <c r="B47" s="3" t="s">
        <v>188</v>
      </c>
      <c r="C47" t="s">
        <v>172</v>
      </c>
    </row>
    <row r="48" spans="2:3">
      <c r="B48" s="3" t="s">
        <v>189</v>
      </c>
      <c r="C48" t="s">
        <v>190</v>
      </c>
    </row>
    <row r="49" spans="1:3">
      <c r="B49" s="3" t="s">
        <v>191</v>
      </c>
      <c r="C49" t="s">
        <v>192</v>
      </c>
    </row>
    <row r="50" spans="1:3">
      <c r="B50" s="3" t="s">
        <v>193</v>
      </c>
      <c r="C50" t="s">
        <v>149</v>
      </c>
    </row>
    <row r="51" spans="1:3">
      <c r="A51" t="s">
        <v>194</v>
      </c>
    </row>
    <row r="52" spans="1:3">
      <c r="B52" s="3" t="s">
        <v>195</v>
      </c>
      <c r="C52" t="s">
        <v>151</v>
      </c>
    </row>
    <row r="53" spans="1:3">
      <c r="B53" s="3" t="s">
        <v>196</v>
      </c>
      <c r="C53" t="s">
        <v>159</v>
      </c>
    </row>
    <row r="54" spans="1:3">
      <c r="B54" s="3" t="s">
        <v>197</v>
      </c>
      <c r="C54" t="s">
        <v>155</v>
      </c>
    </row>
    <row r="55" spans="1:3">
      <c r="B55" s="3" t="s">
        <v>198</v>
      </c>
      <c r="C55" t="s">
        <v>199</v>
      </c>
    </row>
    <row r="56" spans="1:3">
      <c r="A56" s="3" t="s">
        <v>200</v>
      </c>
      <c r="B56" s="3" t="s">
        <v>201</v>
      </c>
      <c r="C56" s="3" t="s">
        <v>202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고객 보장진단</vt:lpstr>
      <vt:lpstr>📋확인사항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</cp:lastModifiedBy>
  <cp:revision>0</cp:revision>
  <dcterms:created xsi:type="dcterms:W3CDTF">2026-06-03T07:10:40Z</dcterms:created>
  <dcterms:modified xsi:type="dcterms:W3CDTF">2026-06-03T07:26:31Z</dcterms:modified>
  <dc:language>en-US</dc:language>
</cp:coreProperties>
</file>