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color rgb="000070C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204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0" fontId="13" fillId="10" borderId="54" applyAlignment="1" pivotButton="0" quotePrefix="0" xfId="0">
      <alignment horizontal="center" vertical="center" wrapText="1"/>
    </xf>
    <xf numFmtId="0" fontId="13" fillId="9" borderId="54" applyAlignment="1" pivotButton="0" quotePrefix="0" xfId="0">
      <alignment horizontal="center" vertical="center" wrapText="1"/>
    </xf>
    <xf numFmtId="0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164" fontId="14" fillId="0" borderId="57" applyAlignment="1" pivotButton="0" quotePrefix="0" xfId="0">
      <alignment horizontal="center" vertical="center"/>
    </xf>
    <xf numFmtId="3" fontId="14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4" fillId="0" borderId="57" pivotButton="0" quotePrefix="0" xfId="0"/>
    <xf numFmtId="3" fontId="14" fillId="0" borderId="58" pivotButton="0" quotePrefix="0" xfId="0"/>
    <xf numFmtId="0" fontId="6" fillId="2" borderId="56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0" fontId="14" fillId="0" borderId="57" pivotButton="0" quotePrefix="0" xfId="0"/>
    <xf numFmtId="0" fontId="0" fillId="0" borderId="58" pivotButton="0" quotePrefix="0" xfId="0"/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0" fontId="0" fillId="0" borderId="60" pivotButton="0" quotePrefix="0" xfId="0"/>
    <xf numFmtId="3" fontId="14" fillId="0" borderId="61" pivotButton="0" quotePrefix="0" xfId="0"/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4" fillId="0" borderId="64" pivotButton="0" quotePrefix="0" xfId="0"/>
    <xf numFmtId="0" fontId="4" fillId="2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3" fontId="14" fillId="0" borderId="63" pivotButton="0" quotePrefix="0" xfId="0"/>
    <xf numFmtId="164" fontId="9" fillId="0" borderId="63" applyAlignment="1" pivotButton="0" quotePrefix="0" xfId="0">
      <alignment horizontal="center" vertical="center"/>
    </xf>
    <xf numFmtId="3" fontId="15" fillId="0" borderId="63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0" fontId="14" fillId="0" borderId="63" pivotButton="0" quotePrefix="0" xfId="0"/>
    <xf numFmtId="0" fontId="14" fillId="0" borderId="64" pivotButton="0" quotePrefix="0" xfId="0"/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164" fontId="9" fillId="0" borderId="60" applyAlignment="1" pivotButton="0" quotePrefix="0" xfId="0">
      <alignment horizontal="center" vertical="center"/>
    </xf>
    <xf numFmtId="3" fontId="14" fillId="0" borderId="60" pivotButton="0" quotePrefix="0" xfId="0"/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3" fontId="15" fillId="0" borderId="57" pivotButton="0" quotePrefix="0" xfId="0"/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C%82%BC%EC%84%B1%EC%83%9D%EB%AA%85%20%ED%8D%BC%ED%8E%99%ED%8A%B8Up%ED%86%B5%ED%95%A9%EB%B3%B4%ED%97%983.0%20%E7%84%A1%20%20%ED%91%9C%EC%A4%80%20%ED%8D%BC%ED%8E%99%ED%8A%B8Up%ED%86%B5%ED%95%A9%EB%B3%B4%ED%97%983.0%20%EC%95%BD%EA%B4%80%20%EB%B3%B4%EC%9E%A5%EB%82%B4%EC%9A%A9" TargetMode="External" Id="rId1"/><Relationship Type="http://schemas.openxmlformats.org/officeDocument/2006/relationships/hyperlink" Target="https://search.naver.com/search.naver?query=%EB%9D%BC%EC%9D%B4%EB%82%98%EC%83%9D%EB%AA%85%20%EB%AC%B4%EB%B0%B0%EB%8B%B9THE%EA%B1%B4%EA%B0%95%ED%95%9C%EC%B9%98%EC%95%84%EB%B3%B4%ED%97%98%E2%85%A4%20%EA%B0%B1%EC%8B%A0%ED%98%95%20%28H%29%EC%B9%98%EA%B3%BC%EC%B9%98%EB%A3%8C%28%EB%B3%B4%EC%A1%B4%EC%B9%98%EB%A3%8C%20%EC%95%BD%EA%B4%80%20%EB%B3%B4%EC%9E%A5%EB%82%B4%EC%9A%A9" TargetMode="External" Id="rId2"/><Relationship Type="http://schemas.openxmlformats.org/officeDocument/2006/relationships/hyperlink" Target="https://search.naver.com/search.naver?query=%EB%9D%BC%EC%9D%B4%EB%82%98%EC%83%9D%EB%AA%85%20%EB%AC%B4%EB%B0%B0%EB%8B%B9THE%EA%B1%B4%EA%B0%95%ED%95%9C%EC%B9%98%EC%95%84%EB%B3%B4%ED%97%98%E2%85%A4%20%EA%B0%B1%EC%8B%A0%ED%98%95%20%28H%29%EC%B9%98%EA%B3%BC%EC%B9%98%EB%A3%8C%28%EB%B3%B4%EC%B2%A0%EC%B9%98%EB%A3%8C%20%EC%95%BD%EA%B4%80%20%EB%B3%B4%EC%9E%A5%EB%82%B4%EC%9A%A9" TargetMode="External" Id="rId3"/><Relationship Type="http://schemas.openxmlformats.org/officeDocument/2006/relationships/hyperlink" Target="https://search.naver.com/search.naver?query=%EB%8F%99%EC%96%91%EC%83%9D%EB%AA%85%20%EB%AC%B4%20%EC%88%98%ED%98%B8%EC%B2%9C%EC%82%AC%EC%B9%98%EB%A7%A4%EA%B0%84%EB%B3%91%EC%9D%80%EB%8F%99%EC%96%91%EC%83%9D%EB%AA%85%EB%B3%B4%ED%97%98%20%EC%9E%AC%EA%B0%80%EA%B8%89%EC%97%AC%281~5%EC%A2%85%29_%28%20%EC%95%BD%EA%B4%80%20%EB%B3%B4%EC%9E%A5%EB%82%B4%EC%9A%A9" TargetMode="External" Id="rId4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83%81%ED%95%B4%ED%9D%89%ED%84%B0%EB%B3%B5%EC%9B%90%EC%88%98%EC%88%A0%20%EC%95%BD%EA%B4%80%20%EB%B3%B4%EC%9E%A5%EB%82%B4%EC%9A%A9" TargetMode="External" Id="rId5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D%B8%EA%B3%B5%EA%B4%80%EC%A0%88%EC%88%98%EC%88%A0%EB%B9%84%20%EC%95%BD%EA%B4%80%20%EB%B3%B4%EC%9E%A5%EB%82%B4%EC%9A%A9" TargetMode="External" Id="rId6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A%B4%80%EC%A0%88%28%EB%AC%B4%EB%A6%8E%20%EA%B3%A0%EA%B4%80%20%EC%95%BD%EA%B4%80%20%EB%B3%B4%EC%9E%A5%EB%82%B4%EC%9A%A9" TargetMode="External" Id="rId7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B%AC%B4%EB%A6%8E%EC%9D%B8%EB%8C%80%ED%8C%8C%EC%97%B4%20%EC%97%B0%20%EC%95%BD%EA%B4%80%20%EB%B3%B4%EC%9E%A5%EB%82%B4%EC%9A%A9" TargetMode="External" Id="rId8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9%B8%EC%83%81%EC%84%B1%EC%B2%99%EC%B6%94%EC%86%90%EC%83%81%EC%88%98%20%EC%95%BD%EA%B4%80%20%EB%B3%B4%EC%9E%A5%EB%82%B4%EC%9A%A9" TargetMode="External" Id="rId9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E%90%EB%8F%99%EC%B0%A8%EC%82%AC%EA%B3%A0%EC%84%B1%ED%98%95%EC%88%98%20%EC%95%BD%EA%B4%80%20%EB%B3%B4%EC%9E%A5%EB%82%B4%EC%9A%A9" TargetMode="External" Id="rId10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B%B3%B4%EB%B3%B5%EC%9A%B4%EC%A0%84%ED%94%BC%ED%95%B4%20%EC%95%BD%EA%B4%80%20%EB%B3%B4%EC%9E%A5%EB%82%B4%EC%9A%A9" TargetMode="External" Id="rId11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E%90%EB%8F%99%EC%B0%A8%EC%82%AC%EA%B3%A0%EC%B9%98%EC%95%84%EB%B3%B4%20%EC%95%BD%EA%B4%80%20%EB%B3%B4%EC%9E%A5%EB%82%B4%EC%9A%A9" TargetMode="External" Id="rId12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A%B4%EC%A0%84%EC%9E%90%EC%9A%A9%20%EC%9E%90%EB%8F%99%EC%B0%A8%20%EC%95%BD%EA%B4%80%20%EB%B3%B4%EC%9E%A5%EB%82%B4%EC%9A%A9" TargetMode="External" Id="rId13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0%B1%EC%8B%A0%ED%98%95%20%EC%9A%B4%EC%A0%84%EC%9E%90%EC%9A%A9%20%EC%9E%90%EB%8F%99%EC%B0%A8%20%EC%95%BD%EA%B4%80%20%EB%B3%B4%EC%9E%A5%EB%82%B4%EC%9A%A9" TargetMode="External" Id="rId14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A%B3%BC%EC%8B%A4%EC%B9%98%EC%82%AC%EC%83%81%20%EB%B2%8C%EA%B8%88%20%EC%95%BD%EA%B4%80%20%EB%B3%B4%EC%9E%A5%EB%82%B4%EC%9A%A9" TargetMode="External" Id="rId15"/><Relationship Type="http://schemas.openxmlformats.org/officeDocument/2006/relationships/hyperlink" Target="https://search.naver.com/search.naver?query=%EB%A9%94%EB%A6%AC%EC%B8%A0%ED%99%94%EC%9E%AC%20%EB%AC%B4%20%20%EB%A9%94%EB%A6%AC%EC%B8%A0%20%EC%9A%B4%EC%A0%84%EC%9E%90%EB%B3%B4%ED%97%98%20M-Dr%20%EC%97%85%EB%AC%B4%EC%83%81%20%EA%B3%BC%EC%8B%A4%2C%EC%A4%91%EA%B3%BC%EC%8B%A4%EC%B9%98%EC%82%AC%20%EC%95%BD%EA%B4%80%20%EB%B3%B4%EC%9E%A5%EB%82%B4%EC%9A%A9" TargetMode="External" Id="rId16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D%8A%B9%EC%A0%95%EC%99%B8%EC%83%81%EC%84%B1%EB%87%8C%EC%86%90%EC%83%81%EC%A7%84%EB%8B%A8%28%EA%B0%84%20%EC%95%BD%EA%B4%80%20%EB%B3%B4%EC%9E%A5%EB%82%B4%EC%9A%A9" TargetMode="External" Id="rId17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D%8A%B9%EC%A0%95%EC%99%B8%EC%83%81%EC%84%B1%EC%9E%A5%EA%B8%B0%EC%86%90%EC%83%81%EC%A7%84%EB%8B%A8%28%20%EC%95%BD%EA%B4%80%20%EB%B3%B4%EC%9E%A5%EB%82%B4%EC%9A%A9" TargetMode="External" Id="rId18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A%B0%84%EC%A7%88%ED%99%98%EC%88%98%EC%88%A0%28%EA%B0%84%ED%8E%B8%EA%B0%80%EC%9E%85%E2%85%A2%29%20%EC%95%BD%EA%B4%80%20%EB%B3%B4%EC%9E%A5%EB%82%B4%EC%9A%A9" TargetMode="External" Id="rId19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C%8B%AC%EB%87%8C%ED%98%88%EA%B4%80%EC%A7%88%ED%99%98%EC%9E%85%EC%9B%90%EC%9D%BC%EB%8B%B9%281%20%EC%95%BD%EA%B4%80%20%EB%B3%B4%EC%9E%A5%EB%82%B4%EC%9A%A9" TargetMode="External" Id="rId20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C%8B%AC%EB%87%8C%ED%98%88%EA%B4%80%EC%A7%88%ED%99%98%EC%9E%85%EC%9B%90%EC%9D%BC%EB%8B%B9%281%20%EC%95%BD%EA%B4%80%20%EB%B3%B4%EC%9E%A5%EB%82%B4%EC%9A%A9" TargetMode="External" Id="rId21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D%8A%B9%EC%A0%95%EA%B0%90%EC%97%BC%EB%B3%91%E2%85%A1%EC%9E%85%EC%9B%90%EC%9D%BC%EB%8B%B9%281%20%EC%95%BD%EA%B4%80%20%EB%B3%B4%EC%9E%A5%EB%82%B4%EC%9A%A9" TargetMode="External" Id="rId22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B%B3%B4%ED%97%98%EB%A3%8C%EB%82%A9%EC%9E%85%EB%A9%B4%EC%A0%9C%EB%8C%80%EC%83%81%28%EA%B0%84%ED%8E%B8%20%EC%95%BD%EA%B4%80%20%EB%B3%B4%EC%9E%A5%EB%82%B4%EC%9A%A9" TargetMode="External" Id="rId23"/><Relationship Type="http://schemas.openxmlformats.org/officeDocument/2006/relationships/hyperlink" Target="https://search.naver.com/search.naver?query=%ED%98%84%EB%8C%80%ED%95%B4%EC%83%81%20%EB%AC%B4%EB%B0%B0%EB%8B%B9%EA%B0%84%ED%8E%B8%ED%95%9C333%EA%B1%B4%EA%B0%95%EB%B3%B4%ED%97%98%20%EC%84%B8%EB%A7%8C%EA%B8%B0%ED%98%95%20%EC%9D%91%EA%B8%89%EC%8B%A4%EB%82%B4%EC%9B%90%EC%A7%84%EB%A3%8C%EB%B9%84%28%EB%B9%84%EC%9D%91%EA%B8%89%20%EC%95%BD%EA%B4%80%20%EB%B3%B4%EC%9E%A5%EB%82%B4%EC%9A%A9" TargetMode="External" Id="rId24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C%83%81%ED%95%B4%20%EC%95%BD%EA%B4%80%20%EB%B3%B4%EC%9E%A5%EB%82%B4%EC%9A%A9" TargetMode="External" Id="rId25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C%97%AC%EC%84%B1%20%EC%95%BD%EA%B4%80%20%EB%B3%B4%EC%9E%A5%EB%82%B4%EC%9A%A9" TargetMode="External" Id="rId26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C%B6%94%EA%B0%84%20%EC%95%BD%EA%B4%80%20%EB%B3%B4%EC%9E%A5%EB%82%B4%EC%9A%A9" TargetMode="External" Id="rId27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C%B6%A9%EC%88%98%20%EC%95%BD%EA%B4%80%20%EB%B3%B4%EC%9E%A5%EB%82%B4%EC%9A%A9" TargetMode="External" Id="rId28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B%87%8C%EB%8F%99%20%EC%95%BD%EA%B4%80%20%EB%B3%B4%EC%9E%A5%EB%82%B4%EC%9A%A9" TargetMode="External" Id="rId29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B%B3%B4%ED%97%98%20%EC%95%BD%EA%B4%80%20%EB%B3%B4%EC%9E%A5%EB%82%B4%EC%9A%A9" TargetMode="External" Id="rId30"/><Relationship Type="http://schemas.openxmlformats.org/officeDocument/2006/relationships/hyperlink" Target="https://search.naver.com/search.naver?query=DB%EC%86%90%EB%B3%B4%20%EB%82%98%EC%97%90%EA%B2%8C%EB%A7%9E%EC%B6%98%EC%B4%88%EA%B2%BD%EC%A6%9D%EA%B0%84%ED%8E%B8%EA%B1%B4%EA%B0%95%EB%B3%B4%ED%97%982407%20%28%EB%A7%9E%EC%B6%A4_%EA%B0%84%ED%8E%B8%EA%B3%A0%EC%A7%80%E2%85%A1%29%EA%B0%84%ED%98%B8%20%EC%95%BD%EA%B4%80%20%EB%B3%B4%EC%9E%A5%EB%82%B4%EC%9A%A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8"/>
    <col width="12" customWidth="1" style="82" min="13" max="13"/>
  </cols>
  <sheetData>
    <row r="1" ht="38.25" customHeight="1" s="82">
      <c r="A1" s="152" t="inlineStr">
        <is>
          <t>한은주 보장진단</t>
        </is>
      </c>
      <c r="B1" s="153" t="n"/>
      <c r="C1" s="154" t="inlineStr">
        <is>
          <t>삼성생명
퍼펙트Up통합보험3.0(無)_표준체
[비갱신]
(4세대 실손)</t>
        </is>
      </c>
      <c r="D1" s="154" t="inlineStr">
        <is>
          <t>삼성생명
퍼펙트Up통합보험3.0(無)_표준체
[비갱신(종신)]</t>
        </is>
      </c>
      <c r="E1" s="155" t="inlineStr">
        <is>
          <t>라이나생명
무배당THE건강한치아보험Ⅴ(갱신형)
[갱신]</t>
        </is>
      </c>
      <c r="F1" s="154" t="inlineStr">
        <is>
          <t>하나생명
(무)하나로 THE 연결된 종신보험(간편심사형, 해약환급금 일부지급형, 보장형 계약)
[비갱신(종신)]</t>
        </is>
      </c>
      <c r="G1" s="154" t="inlineStr">
        <is>
          <t>메트라이프생명
무배당 백만인을위한종신보험Plus(저해약환급금형)
[비갱신(종신)]</t>
        </is>
      </c>
      <c r="H1" s="154" t="inlineStr">
        <is>
          <t>동양생명
(무)수호천사꿈나무재테크(적립-2형-학자금플랜형-가입부모-여자)
[비갱신]</t>
        </is>
      </c>
      <c r="I1" s="154" t="inlineStr">
        <is>
          <t>동양생명
(무)수호천사치매간병은동양생명보험(표준형-종신)
[비갱신(종신)]</t>
        </is>
      </c>
      <c r="J1" s="156" t="inlineStr">
        <is>
          <t>메리츠화재
(무) 메리츠 운전자보험 M-Drive2210(1종)
[갱신]</t>
        </is>
      </c>
      <c r="K1" s="157" t="inlineStr">
        <is>
          <t>현대해상
무배당간편한333건강보험(세만기형)(Hi2104)2종(해지환급금미지급형)(간편심사형Ⅲ)
[비갱신]
(3세대 실손)</t>
        </is>
      </c>
      <c r="L1" s="157" t="inlineStr">
        <is>
          <t>DB손보
나에게맞춘초경증간편건강보험2407
[비갱신]</t>
        </is>
      </c>
      <c r="M1" s="158" t="inlineStr">
        <is>
          <t>합계</t>
        </is>
      </c>
    </row>
    <row r="2" ht="16.5" customHeight="1" s="82">
      <c r="A2" s="159" t="inlineStr">
        <is>
          <t>보험료</t>
        </is>
      </c>
      <c r="B2" s="160" t="n"/>
      <c r="C2" s="161" t="n"/>
      <c r="D2" s="162" t="n">
        <v>207130</v>
      </c>
      <c r="E2" s="163" t="n">
        <v>31800</v>
      </c>
      <c r="F2" s="162" t="n">
        <v>102080</v>
      </c>
      <c r="G2" s="162" t="n">
        <v>206210</v>
      </c>
      <c r="H2" s="162" t="n">
        <v>200000</v>
      </c>
      <c r="I2" s="162" t="n">
        <v>53060</v>
      </c>
      <c r="J2" s="163" t="n">
        <v>14960</v>
      </c>
      <c r="K2" s="164" t="n">
        <v>107140</v>
      </c>
      <c r="L2" s="164" t="n">
        <v>77885</v>
      </c>
      <c r="M2" s="165">
        <f>SUM(C2:L2)</f>
        <v>1000265</v>
      </c>
    </row>
    <row r="3" ht="16.5" customHeight="1" s="82">
      <c r="A3" s="166" t="inlineStr">
        <is>
          <t>가입년일</t>
        </is>
      </c>
      <c r="B3" s="160" t="n"/>
      <c r="C3" s="161" t="inlineStr">
        <is>
          <t>2022.09.17</t>
        </is>
      </c>
      <c r="D3" s="161" t="inlineStr">
        <is>
          <t>2013.09.10</t>
        </is>
      </c>
      <c r="E3" s="167" t="inlineStr">
        <is>
          <t>2022.02.21</t>
        </is>
      </c>
      <c r="F3" s="161" t="inlineStr">
        <is>
          <t>2024.01.23</t>
        </is>
      </c>
      <c r="G3" s="161" t="inlineStr">
        <is>
          <t>2023.02.17</t>
        </is>
      </c>
      <c r="H3" s="161" t="inlineStr">
        <is>
          <t>2016.03.17</t>
        </is>
      </c>
      <c r="I3" s="161" t="inlineStr">
        <is>
          <t>2025.01.24</t>
        </is>
      </c>
      <c r="J3" s="167" t="inlineStr">
        <is>
          <t>2022.11.30</t>
        </is>
      </c>
      <c r="K3" s="168" t="inlineStr">
        <is>
          <t>2021.06.08</t>
        </is>
      </c>
      <c r="L3" s="168" t="inlineStr">
        <is>
          <t>2024.07.31</t>
        </is>
      </c>
      <c r="M3" s="169" t="n"/>
    </row>
    <row r="4" ht="16.5" customHeight="1" s="82">
      <c r="A4" s="166" t="inlineStr">
        <is>
          <t>만기일자</t>
        </is>
      </c>
      <c r="B4" s="160" t="n"/>
      <c r="C4" s="161" t="inlineStr">
        <is>
          <t>2022.09.18</t>
        </is>
      </c>
      <c r="D4" s="161" t="inlineStr">
        <is>
          <t>9999.12.31</t>
        </is>
      </c>
      <c r="E4" s="167" t="inlineStr">
        <is>
          <t>2027.02.21</t>
        </is>
      </c>
      <c r="F4" s="161" t="inlineStr">
        <is>
          <t>9999.12.31</t>
        </is>
      </c>
      <c r="G4" s="161" t="inlineStr">
        <is>
          <t>9999.12.31</t>
        </is>
      </c>
      <c r="H4" s="161" t="inlineStr">
        <is>
          <t>2048.03.17</t>
        </is>
      </c>
      <c r="I4" s="161" t="inlineStr">
        <is>
          <t>9999.12.31</t>
        </is>
      </c>
      <c r="J4" s="167" t="inlineStr">
        <is>
          <t>2082.11.30</t>
        </is>
      </c>
      <c r="K4" s="168" t="inlineStr">
        <is>
          <t>2073.06.08</t>
        </is>
      </c>
      <c r="L4" s="168" t="inlineStr">
        <is>
          <t>2072.07.31</t>
        </is>
      </c>
      <c r="M4" s="169" t="n"/>
    </row>
    <row r="5" ht="17.25" customHeight="1" s="82">
      <c r="A5" s="166" t="inlineStr">
        <is>
          <t>총납입기간</t>
        </is>
      </c>
      <c r="B5" s="160" t="n"/>
      <c r="C5" s="161" t="inlineStr">
        <is>
          <t>25년납 ()</t>
        </is>
      </c>
      <c r="D5" s="161" t="inlineStr">
        <is>
          <t>20년납 (154/240)</t>
        </is>
      </c>
      <c r="E5" s="167" t="inlineStr">
        <is>
          <t>5년납 (52/60)</t>
        </is>
      </c>
      <c r="F5" s="161" t="inlineStr">
        <is>
          <t>7년납 (29/84)</t>
        </is>
      </c>
      <c r="G5" s="161" t="inlineStr">
        <is>
          <t>7년납 (41/84)</t>
        </is>
      </c>
      <c r="H5" s="161" t="inlineStr">
        <is>
          <t>15년납 (124/180)</t>
        </is>
      </c>
      <c r="I5" s="161" t="inlineStr">
        <is>
          <t>20년납 (17/240)</t>
        </is>
      </c>
      <c r="J5" s="167" t="inlineStr">
        <is>
          <t>20년납 (43/240)</t>
        </is>
      </c>
      <c r="K5" s="168" t="inlineStr">
        <is>
          <t>25년납 (61/300)</t>
        </is>
      </c>
      <c r="L5" s="168" t="inlineStr">
        <is>
          <t>25년납 (23/300)</t>
        </is>
      </c>
      <c r="M5" s="169" t="n"/>
    </row>
    <row r="6" ht="16.5" customHeight="1" s="82">
      <c r="A6" s="170" t="inlineStr">
        <is>
          <t>사망</t>
        </is>
      </c>
      <c r="B6" s="171" t="inlineStr">
        <is>
          <t>일반사망</t>
        </is>
      </c>
      <c r="C6" s="172" t="n"/>
      <c r="D6" s="172" t="n"/>
      <c r="E6" s="172" t="n"/>
      <c r="F6" s="173" t="n">
        <v>1100</v>
      </c>
      <c r="G6" s="173" t="n">
        <v>3400</v>
      </c>
      <c r="H6" s="173" t="n">
        <v>120</v>
      </c>
      <c r="I6" s="173" t="n">
        <v>200</v>
      </c>
      <c r="J6" s="172" t="n"/>
      <c r="K6" s="174" t="n"/>
      <c r="L6" s="174" t="n"/>
      <c r="M6" s="175">
        <f>SUM(C6:L6)</f>
        <v>4820</v>
      </c>
    </row>
    <row r="7" ht="17.25" customHeight="1" s="82">
      <c r="A7" s="176" t="n"/>
      <c r="B7" s="177" t="inlineStr">
        <is>
          <t>중대한CI적용</t>
        </is>
      </c>
      <c r="C7" s="178" t="n"/>
      <c r="D7" s="178" t="n"/>
      <c r="E7" s="178" t="n"/>
      <c r="F7" s="178" t="n"/>
      <c r="G7" s="178" t="n"/>
      <c r="H7" s="178" t="n"/>
      <c r="I7" s="178" t="n"/>
      <c r="J7" s="178" t="n"/>
      <c r="K7" s="179" t="n"/>
      <c r="L7" s="179" t="n"/>
      <c r="M7" s="180">
        <f>SUM(C7:L7)</f>
        <v>0</v>
      </c>
    </row>
    <row r="8" ht="17.25" customHeight="1" s="82">
      <c r="A8" s="176" t="n"/>
      <c r="B8" s="181" t="inlineStr">
        <is>
          <t>질병사망(80세)</t>
        </is>
      </c>
      <c r="C8" s="178" t="n"/>
      <c r="D8" s="178" t="n"/>
      <c r="E8" s="178" t="n"/>
      <c r="F8" s="178" t="n"/>
      <c r="G8" s="178" t="n"/>
      <c r="H8" s="178" t="n"/>
      <c r="I8" s="178" t="n"/>
      <c r="J8" s="178" t="n"/>
      <c r="K8" s="179" t="n"/>
      <c r="L8" s="179" t="n"/>
      <c r="M8" s="180">
        <f>SUM(C8:L8)</f>
        <v>0</v>
      </c>
    </row>
    <row r="9" ht="16.5" customHeight="1" s="82">
      <c r="A9" s="176" t="n"/>
      <c r="B9" s="181" t="inlineStr">
        <is>
          <t>교통상해사망</t>
        </is>
      </c>
      <c r="C9" s="178" t="n"/>
      <c r="D9" s="178" t="n"/>
      <c r="E9" s="178" t="n"/>
      <c r="F9" s="178" t="n"/>
      <c r="G9" s="178" t="n"/>
      <c r="H9" s="178" t="n"/>
      <c r="I9" s="178" t="n"/>
      <c r="J9" s="178" t="n"/>
      <c r="K9" s="179" t="n"/>
      <c r="L9" s="179" t="n"/>
      <c r="M9" s="180">
        <f>SUM(C9:L9)</f>
        <v>0</v>
      </c>
    </row>
    <row r="10" ht="17.25" customHeight="1" s="82">
      <c r="A10" s="182" t="n"/>
      <c r="B10" s="183" t="inlineStr">
        <is>
          <t>상해사망</t>
        </is>
      </c>
      <c r="C10" s="184" t="n"/>
      <c r="D10" s="184" t="n"/>
      <c r="E10" s="184" t="n"/>
      <c r="F10" s="162" t="n">
        <v>1100</v>
      </c>
      <c r="G10" s="162" t="n">
        <v>3400</v>
      </c>
      <c r="H10" s="162" t="n">
        <v>120</v>
      </c>
      <c r="I10" s="162" t="n">
        <v>200</v>
      </c>
      <c r="J10" s="163" t="n">
        <v>1000</v>
      </c>
      <c r="K10" s="164" t="n">
        <v>3000</v>
      </c>
      <c r="L10" s="164" t="n">
        <v>3000</v>
      </c>
      <c r="M10" s="165">
        <f>SUM(C10:L10)</f>
        <v>11820</v>
      </c>
    </row>
    <row r="11" ht="16.5" customHeight="1" s="82">
      <c r="A11" s="185" t="inlineStr">
        <is>
          <t>후유장애</t>
        </is>
      </c>
      <c r="B11" s="181" t="inlineStr">
        <is>
          <t>상해후유3%</t>
        </is>
      </c>
      <c r="C11" s="178" t="n"/>
      <c r="D11" s="186" t="n">
        <v>10000</v>
      </c>
      <c r="E11" s="178" t="n"/>
      <c r="F11" s="178" t="n"/>
      <c r="G11" s="178" t="n"/>
      <c r="H11" s="178" t="n"/>
      <c r="I11" s="178" t="n"/>
      <c r="J11" s="187" t="n">
        <v>8000</v>
      </c>
      <c r="K11" s="179" t="n"/>
      <c r="L11" s="188" t="n">
        <v>1000</v>
      </c>
      <c r="M11" s="180">
        <f>SUM(C11:L11)</f>
        <v>19000</v>
      </c>
    </row>
    <row r="12" ht="16.5" customHeight="1" s="82">
      <c r="A12" s="176" t="n"/>
      <c r="B12" s="181" t="inlineStr">
        <is>
          <t>상해후유80%</t>
        </is>
      </c>
      <c r="C12" s="178" t="n"/>
      <c r="D12" s="178" t="n"/>
      <c r="E12" s="178" t="n"/>
      <c r="F12" s="178" t="n"/>
      <c r="G12" s="178" t="n"/>
      <c r="H12" s="178" t="n"/>
      <c r="I12" s="178" t="n"/>
      <c r="J12" s="178" t="n"/>
      <c r="K12" s="188" t="n">
        <v>3000</v>
      </c>
      <c r="L12" s="188" t="n">
        <v>3000</v>
      </c>
      <c r="M12" s="180">
        <f>SUM(C12:L12)</f>
        <v>6000</v>
      </c>
    </row>
    <row r="13" ht="16.5" customHeight="1" s="82">
      <c r="A13" s="176" t="n"/>
      <c r="B13" s="181" t="inlineStr">
        <is>
          <t>질병후유3%</t>
        </is>
      </c>
      <c r="C13" s="178" t="n"/>
      <c r="D13" s="178" t="n"/>
      <c r="E13" s="178" t="n"/>
      <c r="F13" s="178" t="n"/>
      <c r="G13" s="178" t="n"/>
      <c r="H13" s="178" t="n"/>
      <c r="I13" s="178" t="n"/>
      <c r="J13" s="178" t="n"/>
      <c r="K13" s="188" t="n">
        <v>30</v>
      </c>
      <c r="L13" s="179" t="n"/>
      <c r="M13" s="180">
        <f>SUM(C13:L13)</f>
        <v>30</v>
      </c>
    </row>
    <row r="14" ht="17.25" customHeight="1" s="82">
      <c r="A14" s="182" t="n"/>
      <c r="B14" s="183" t="inlineStr">
        <is>
          <t>질병후유80%</t>
        </is>
      </c>
      <c r="C14" s="184" t="n"/>
      <c r="D14" s="184" t="n"/>
      <c r="E14" s="184" t="n"/>
      <c r="F14" s="184" t="n"/>
      <c r="G14" s="184" t="n"/>
      <c r="H14" s="184" t="n"/>
      <c r="I14" s="184" t="n"/>
      <c r="J14" s="184" t="n"/>
      <c r="K14" s="164" t="n">
        <v>1000</v>
      </c>
      <c r="L14" s="164" t="n">
        <v>2000</v>
      </c>
      <c r="M14" s="165">
        <f>SUM(C14:L14)</f>
        <v>3000</v>
      </c>
    </row>
    <row r="15" ht="17.25" customHeight="1" s="82">
      <c r="A15" s="185" t="inlineStr">
        <is>
          <t>암</t>
        </is>
      </c>
      <c r="B15" s="181" t="inlineStr">
        <is>
          <t>고액암</t>
        </is>
      </c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9" t="n"/>
      <c r="L15" s="179" t="n"/>
      <c r="M15" s="180">
        <f>SUM(C15:L15)</f>
        <v>0</v>
      </c>
    </row>
    <row r="16" ht="16.5" customHeight="1" s="82">
      <c r="A16" s="176" t="n"/>
      <c r="B16" s="177" t="inlineStr">
        <is>
          <t>일반암</t>
        </is>
      </c>
      <c r="C16" s="178" t="n"/>
      <c r="D16" s="178" t="n"/>
      <c r="E16" s="178" t="n"/>
      <c r="F16" s="178" t="n"/>
      <c r="G16" s="178" t="n"/>
      <c r="H16" s="178" t="n"/>
      <c r="I16" s="178" t="n"/>
      <c r="J16" s="178" t="n"/>
      <c r="K16" s="188" t="n">
        <v>3000</v>
      </c>
      <c r="L16" s="179" t="n"/>
      <c r="M16" s="180">
        <f>SUM(C16:L16)</f>
        <v>3000</v>
      </c>
    </row>
    <row r="17" ht="17.25" customHeight="1" s="82">
      <c r="A17" s="176" t="n"/>
      <c r="B17" s="177" t="inlineStr">
        <is>
          <t>중대한 암</t>
        </is>
      </c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9" t="n"/>
      <c r="L17" s="179" t="n"/>
      <c r="M17" s="180">
        <f>SUM(C17:L17)</f>
        <v>0</v>
      </c>
    </row>
    <row r="18" ht="16.5" customHeight="1" s="82">
      <c r="A18" s="176" t="n"/>
      <c r="B18" s="181" t="inlineStr">
        <is>
          <t>유사암(갑.기.경.제)</t>
        </is>
      </c>
      <c r="C18" s="178" t="n"/>
      <c r="D18" s="178" t="n"/>
      <c r="E18" s="178" t="n"/>
      <c r="F18" s="178" t="n"/>
      <c r="G18" s="178" t="n"/>
      <c r="H18" s="178" t="n"/>
      <c r="I18" s="178" t="n"/>
      <c r="J18" s="178" t="n"/>
      <c r="K18" s="188" t="n">
        <v>2000</v>
      </c>
      <c r="L18" s="188" t="n">
        <v>1200</v>
      </c>
      <c r="M18" s="180">
        <f>SUM(C18:L18)</f>
        <v>3200</v>
      </c>
    </row>
    <row r="19" ht="16.5" customHeight="1" s="82">
      <c r="A19" s="176" t="n"/>
      <c r="B19" s="181" t="inlineStr">
        <is>
          <t>통합전이암</t>
        </is>
      </c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9" t="n"/>
      <c r="L19" s="179" t="n"/>
      <c r="M19" s="180">
        <f>SUM(C19:L19)</f>
        <v>0</v>
      </c>
    </row>
    <row r="20" ht="16.5" customHeight="1" s="82">
      <c r="A20" s="176" t="n"/>
      <c r="B20" s="181" t="inlineStr">
        <is>
          <t>암주요치료비</t>
        </is>
      </c>
      <c r="C20" s="189" t="n"/>
      <c r="D20" s="189" t="n"/>
      <c r="E20" s="189" t="n"/>
      <c r="F20" s="189" t="n"/>
      <c r="G20" s="189" t="n"/>
      <c r="H20" s="189" t="n"/>
      <c r="I20" s="178" t="n"/>
      <c r="J20" s="178" t="n"/>
      <c r="K20" s="179" t="n"/>
      <c r="L20" s="179" t="n"/>
      <c r="M20" s="180">
        <f>SUM(C20:L20)</f>
        <v>0</v>
      </c>
    </row>
    <row r="21" ht="16.5" customHeight="1" s="82">
      <c r="A21" s="176" t="n"/>
      <c r="B21" s="181" t="inlineStr">
        <is>
          <t>하이클래스(암)</t>
        </is>
      </c>
      <c r="C21" s="178" t="n"/>
      <c r="D21" s="178" t="n"/>
      <c r="E21" s="178" t="n"/>
      <c r="F21" s="178" t="n"/>
      <c r="G21" s="178" t="n"/>
      <c r="H21" s="178" t="n"/>
      <c r="I21" s="178" t="n"/>
      <c r="J21" s="178" t="n"/>
      <c r="K21" s="179" t="n"/>
      <c r="L21" s="179" t="n"/>
      <c r="M21" s="180">
        <f>SUM(C21:L21)</f>
        <v>0</v>
      </c>
    </row>
    <row r="22" ht="16.5" customHeight="1" s="82">
      <c r="A22" s="176" t="n"/>
      <c r="B22" s="181" t="inlineStr">
        <is>
          <t>중입자치료비</t>
        </is>
      </c>
      <c r="C22" s="189" t="n"/>
      <c r="D22" s="189" t="n"/>
      <c r="E22" s="189" t="n"/>
      <c r="F22" s="189" t="n"/>
      <c r="G22" s="189" t="n"/>
      <c r="H22" s="189" t="n"/>
      <c r="I22" s="178" t="n"/>
      <c r="J22" s="178" t="n"/>
      <c r="K22" s="179" t="n"/>
      <c r="L22" s="179" t="n"/>
      <c r="M22" s="180">
        <f>IF(COUNT(C22:L22)=0,0,MAX(C22:L22))</f>
        <v>0</v>
      </c>
    </row>
    <row r="23" ht="16.5" customHeight="1" s="82">
      <c r="A23" s="176" t="n"/>
      <c r="B23" s="181" t="inlineStr">
        <is>
          <t>표적항암치료비</t>
        </is>
      </c>
      <c r="C23" s="189" t="n"/>
      <c r="D23" s="189" t="n"/>
      <c r="E23" s="189" t="n"/>
      <c r="F23" s="189" t="n"/>
      <c r="G23" s="189" t="n"/>
      <c r="H23" s="189" t="n"/>
      <c r="I23" s="178" t="n"/>
      <c r="J23" s="178" t="n"/>
      <c r="K23" s="190" t="n">
        <v>3000</v>
      </c>
      <c r="L23" s="188" t="n">
        <v>2000</v>
      </c>
      <c r="M23" s="180">
        <f>SUM(C23:L23)</f>
        <v>5000</v>
      </c>
    </row>
    <row r="24" ht="16.5" customHeight="1" s="82">
      <c r="A24" s="176" t="n"/>
      <c r="B24" s="181" t="inlineStr">
        <is>
          <t>양성자치료</t>
        </is>
      </c>
      <c r="C24" s="189" t="n"/>
      <c r="D24" s="189" t="n"/>
      <c r="E24" s="189" t="n"/>
      <c r="F24" s="189" t="n"/>
      <c r="G24" s="189" t="n"/>
      <c r="H24" s="189" t="n"/>
      <c r="I24" s="178" t="n"/>
      <c r="J24" s="178" t="n"/>
      <c r="K24" s="179" t="n"/>
      <c r="L24" s="179" t="n"/>
      <c r="M24" s="180">
        <f>SUM(C24:L24)</f>
        <v>0</v>
      </c>
    </row>
    <row r="25" ht="16.5" customHeight="1" s="82">
      <c r="A25" s="176" t="n"/>
      <c r="B25" s="181" t="inlineStr">
        <is>
          <t>세기조절치료</t>
        </is>
      </c>
      <c r="C25" s="189" t="n"/>
      <c r="D25" s="189" t="n"/>
      <c r="E25" s="189" t="n"/>
      <c r="F25" s="189" t="n"/>
      <c r="G25" s="189" t="n"/>
      <c r="H25" s="189" t="n"/>
      <c r="I25" s="178" t="n"/>
      <c r="J25" s="178" t="n"/>
      <c r="K25" s="179" t="n"/>
      <c r="L25" s="179" t="n"/>
      <c r="M25" s="180">
        <f>SUM(C25:L25)</f>
        <v>0</v>
      </c>
    </row>
    <row r="26" ht="16.5" customHeight="1" s="82">
      <c r="A26" s="176" t="n"/>
      <c r="B26" s="181" t="inlineStr">
        <is>
          <t>다빈치로봇수술비</t>
        </is>
      </c>
      <c r="C26" s="189" t="n"/>
      <c r="D26" s="189" t="n"/>
      <c r="E26" s="189" t="n"/>
      <c r="F26" s="189" t="n"/>
      <c r="G26" s="189" t="n"/>
      <c r="H26" s="189" t="n"/>
      <c r="I26" s="178" t="n"/>
      <c r="J26" s="178" t="n"/>
      <c r="K26" s="179" t="n"/>
      <c r="L26" s="179" t="n"/>
      <c r="M26" s="180">
        <f>SUM(C26:L26)</f>
        <v>0</v>
      </c>
    </row>
    <row r="27" ht="16.5" customHeight="1" s="82">
      <c r="A27" s="176" t="n"/>
      <c r="B27" s="181" t="inlineStr">
        <is>
          <t>암수술</t>
        </is>
      </c>
      <c r="C27" s="178" t="n"/>
      <c r="D27" s="178" t="n"/>
      <c r="E27" s="178" t="n"/>
      <c r="F27" s="178" t="n"/>
      <c r="G27" s="178" t="n"/>
      <c r="H27" s="178" t="n"/>
      <c r="I27" s="178" t="n"/>
      <c r="J27" s="178" t="n"/>
      <c r="K27" s="179" t="n"/>
      <c r="L27" s="188" t="n">
        <v>1010</v>
      </c>
      <c r="M27" s="180">
        <f>SUM(C27:L27)</f>
        <v>1010</v>
      </c>
    </row>
    <row r="28" ht="17.25" customHeight="1" s="82">
      <c r="A28" s="176" t="n"/>
      <c r="B28" s="181" t="inlineStr">
        <is>
          <t>암일당</t>
        </is>
      </c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9" t="n"/>
      <c r="L28" s="188" t="n">
        <v>21</v>
      </c>
      <c r="M28" s="180">
        <f>SUM(C28:L28)</f>
        <v>21</v>
      </c>
    </row>
    <row r="29" ht="17.25" customHeight="1" s="82">
      <c r="A29" s="182" t="n"/>
      <c r="B29" s="183" t="inlineStr">
        <is>
          <t>항암방사선약물</t>
        </is>
      </c>
      <c r="C29" s="184" t="n"/>
      <c r="D29" s="184" t="n"/>
      <c r="E29" s="184" t="n"/>
      <c r="F29" s="184" t="n"/>
      <c r="G29" s="184" t="n"/>
      <c r="H29" s="184" t="n"/>
      <c r="I29" s="184" t="n"/>
      <c r="J29" s="184" t="n"/>
      <c r="K29" s="164" t="n">
        <v>300</v>
      </c>
      <c r="L29" s="164" t="n">
        <v>700</v>
      </c>
      <c r="M29" s="165">
        <f>SUM(C29:L29)</f>
        <v>1000</v>
      </c>
    </row>
    <row r="30" ht="16.5" customHeight="1" s="82">
      <c r="A30" s="185" t="inlineStr">
        <is>
          <t>뇌혈관</t>
        </is>
      </c>
      <c r="B30" s="181" t="inlineStr">
        <is>
          <t>뇌혈관진단비</t>
        </is>
      </c>
      <c r="C30" s="178" t="n"/>
      <c r="D30" s="178" t="n"/>
      <c r="E30" s="178" t="n"/>
      <c r="F30" s="178" t="n"/>
      <c r="G30" s="178" t="n"/>
      <c r="H30" s="178" t="n"/>
      <c r="I30" s="178" t="n"/>
      <c r="J30" s="178" t="n"/>
      <c r="K30" s="188" t="n">
        <v>1000</v>
      </c>
      <c r="L30" s="188" t="n">
        <v>1000</v>
      </c>
      <c r="M30" s="180">
        <f>SUM(C30:L30)</f>
        <v>2000</v>
      </c>
    </row>
    <row r="31" ht="17.25" customHeight="1" s="82">
      <c r="A31" s="176" t="n"/>
      <c r="B31" s="177" t="inlineStr">
        <is>
          <t>뇌졸증진단비</t>
        </is>
      </c>
      <c r="C31" s="178" t="n"/>
      <c r="D31" s="178" t="n"/>
      <c r="E31" s="178" t="n"/>
      <c r="F31" s="178" t="n"/>
      <c r="G31" s="178" t="n"/>
      <c r="H31" s="178" t="n"/>
      <c r="I31" s="178" t="n"/>
      <c r="J31" s="178" t="n"/>
      <c r="K31" s="188" t="n">
        <v>500</v>
      </c>
      <c r="L31" s="179" t="n"/>
      <c r="M31" s="180">
        <f>SUM(C31:L31)</f>
        <v>500</v>
      </c>
    </row>
    <row r="32" ht="16.5" customHeight="1" s="82">
      <c r="A32" s="176" t="n"/>
      <c r="B32" s="177" t="inlineStr">
        <is>
          <t>중대한 뇌졸증</t>
        </is>
      </c>
      <c r="C32" s="178" t="n"/>
      <c r="D32" s="178" t="n"/>
      <c r="E32" s="178" t="n"/>
      <c r="F32" s="178" t="n"/>
      <c r="G32" s="178" t="n"/>
      <c r="H32" s="178" t="n"/>
      <c r="I32" s="178" t="n"/>
      <c r="J32" s="178" t="n"/>
      <c r="K32" s="179" t="n"/>
      <c r="L32" s="179" t="n"/>
      <c r="M32" s="180">
        <f>SUM(C32:L32)</f>
        <v>0</v>
      </c>
    </row>
    <row r="33" ht="16.5" customHeight="1" s="82">
      <c r="A33" s="176" t="n"/>
      <c r="B33" s="181" t="inlineStr">
        <is>
          <t>뇌출혈진단비</t>
        </is>
      </c>
      <c r="C33" s="178" t="n"/>
      <c r="D33" s="178" t="n"/>
      <c r="E33" s="178" t="n"/>
      <c r="F33" s="178" t="n"/>
      <c r="G33" s="178" t="n"/>
      <c r="H33" s="178" t="n"/>
      <c r="I33" s="178" t="n"/>
      <c r="J33" s="178" t="n"/>
      <c r="K33" s="188" t="n">
        <v>500</v>
      </c>
      <c r="L33" s="179" t="n"/>
      <c r="M33" s="180">
        <f>SUM(C33:L33)</f>
        <v>500</v>
      </c>
    </row>
    <row r="34" ht="16.5" customHeight="1" s="82">
      <c r="A34" s="176" t="n"/>
      <c r="B34" s="181" t="inlineStr">
        <is>
          <t>외상성뇌출혈</t>
        </is>
      </c>
      <c r="C34" s="178" t="n"/>
      <c r="D34" s="178" t="n"/>
      <c r="E34" s="178" t="n"/>
      <c r="F34" s="178" t="n"/>
      <c r="G34" s="178" t="n"/>
      <c r="H34" s="178" t="n"/>
      <c r="I34" s="178" t="n"/>
      <c r="J34" s="178" t="n"/>
      <c r="K34" s="179" t="n"/>
      <c r="L34" s="179" t="n"/>
      <c r="M34" s="180">
        <f>SUM(C34:L34)</f>
        <v>0</v>
      </c>
    </row>
    <row r="35" ht="16.5" customHeight="1" s="82">
      <c r="A35" s="176" t="n"/>
      <c r="B35" s="181" t="inlineStr">
        <is>
          <t>산정특례뇌혈관</t>
        </is>
      </c>
      <c r="C35" s="178" t="n"/>
      <c r="D35" s="178" t="n"/>
      <c r="E35" s="178" t="n"/>
      <c r="F35" s="178" t="n"/>
      <c r="G35" s="178" t="n"/>
      <c r="H35" s="178" t="n"/>
      <c r="I35" s="178" t="n"/>
      <c r="J35" s="178" t="n"/>
      <c r="K35" s="179" t="n"/>
      <c r="L35" s="188" t="n">
        <v>500</v>
      </c>
      <c r="M35" s="180">
        <f>SUM(C35:L35)</f>
        <v>500</v>
      </c>
    </row>
    <row r="36" ht="16.5" customHeight="1" s="82">
      <c r="A36" s="176" t="n"/>
      <c r="B36" s="181" t="inlineStr">
        <is>
          <t>2대 주요치료비</t>
        </is>
      </c>
      <c r="C36" s="178" t="n"/>
      <c r="D36" s="178" t="n"/>
      <c r="E36" s="178" t="n"/>
      <c r="F36" s="178" t="n"/>
      <c r="G36" s="178" t="n"/>
      <c r="H36" s="178" t="n"/>
      <c r="I36" s="178" t="n"/>
      <c r="J36" s="178" t="n"/>
      <c r="K36" s="179" t="n"/>
      <c r="L36" s="179" t="n"/>
      <c r="M36" s="180">
        <f>SUM(C36:L36)</f>
        <v>0</v>
      </c>
    </row>
    <row r="37" ht="16.5" customHeight="1" s="82">
      <c r="A37" s="182" t="n"/>
      <c r="B37" s="183" t="inlineStr">
        <is>
          <t>혈전용해치료비</t>
        </is>
      </c>
      <c r="C37" s="184" t="n"/>
      <c r="D37" s="184" t="n"/>
      <c r="E37" s="184" t="n"/>
      <c r="F37" s="184" t="n"/>
      <c r="G37" s="184" t="n"/>
      <c r="H37" s="184" t="n"/>
      <c r="I37" s="184" t="n"/>
      <c r="J37" s="184" t="n"/>
      <c r="K37" s="160" t="n"/>
      <c r="L37" s="160" t="n"/>
      <c r="M37" s="165">
        <f>SUM(C37:L37)</f>
        <v>0</v>
      </c>
    </row>
    <row r="38" ht="16.5" customHeight="1" s="82">
      <c r="A38" s="185" t="inlineStr">
        <is>
          <t>심장</t>
        </is>
      </c>
      <c r="B38" s="181" t="inlineStr">
        <is>
          <t>협심증</t>
        </is>
      </c>
      <c r="C38" s="178" t="n"/>
      <c r="D38" s="178" t="n"/>
      <c r="E38" s="178" t="n"/>
      <c r="F38" s="178" t="n"/>
      <c r="G38" s="178" t="n"/>
      <c r="H38" s="178" t="n"/>
      <c r="I38" s="178" t="n"/>
      <c r="J38" s="178" t="n"/>
      <c r="K38" s="179" t="n"/>
      <c r="L38" s="188" t="n">
        <v>1000</v>
      </c>
      <c r="M38" s="180">
        <f>SUM(C38:L38)</f>
        <v>1000</v>
      </c>
    </row>
    <row r="39" ht="16.5" customHeight="1" s="82">
      <c r="A39" s="176" t="n"/>
      <c r="B39" s="181" t="inlineStr">
        <is>
          <t>심부전</t>
        </is>
      </c>
      <c r="C39" s="178" t="n"/>
      <c r="D39" s="178" t="n"/>
      <c r="E39" s="178" t="n"/>
      <c r="F39" s="178" t="n"/>
      <c r="G39" s="178" t="n"/>
      <c r="H39" s="178" t="n"/>
      <c r="I39" s="178" t="n"/>
      <c r="J39" s="178" t="n"/>
      <c r="K39" s="179" t="n"/>
      <c r="L39" s="188" t="n">
        <v>1000</v>
      </c>
      <c r="M39" s="180">
        <f>SUM(C39:L39)</f>
        <v>1000</v>
      </c>
    </row>
    <row r="40" ht="16.5" customHeight="1" s="82">
      <c r="A40" s="176" t="n"/>
      <c r="B40" s="181" t="inlineStr">
        <is>
          <t>빈맥</t>
        </is>
      </c>
      <c r="C40" s="178" t="n"/>
      <c r="D40" s="178" t="n"/>
      <c r="E40" s="178" t="n"/>
      <c r="F40" s="178" t="n"/>
      <c r="G40" s="178" t="n"/>
      <c r="H40" s="178" t="n"/>
      <c r="I40" s="178" t="n"/>
      <c r="J40" s="178" t="n"/>
      <c r="K40" s="179" t="n"/>
      <c r="L40" s="188" t="n">
        <v>1000</v>
      </c>
      <c r="M40" s="180">
        <f>SUM(C40:L40)</f>
        <v>1000</v>
      </c>
    </row>
    <row r="41" ht="17.25" customHeight="1" s="82">
      <c r="A41" s="176" t="n"/>
      <c r="B41" s="181" t="inlineStr">
        <is>
          <t>염증</t>
        </is>
      </c>
      <c r="C41" s="178" t="n"/>
      <c r="D41" s="178" t="n"/>
      <c r="E41" s="178" t="n"/>
      <c r="F41" s="178" t="n"/>
      <c r="G41" s="178" t="n"/>
      <c r="H41" s="178" t="n"/>
      <c r="I41" s="178" t="n"/>
      <c r="J41" s="178" t="n"/>
      <c r="K41" s="179" t="n"/>
      <c r="L41" s="188" t="n">
        <v>1000</v>
      </c>
      <c r="M41" s="180">
        <f>SUM(C41:L41)</f>
        <v>1000</v>
      </c>
    </row>
    <row r="42" ht="16.5" customHeight="1" s="82">
      <c r="A42" s="176" t="n"/>
      <c r="B42" s="181" t="inlineStr">
        <is>
          <t>부정맥</t>
        </is>
      </c>
      <c r="C42" s="178" t="n"/>
      <c r="D42" s="178" t="n"/>
      <c r="E42" s="178" t="n"/>
      <c r="F42" s="178" t="n"/>
      <c r="G42" s="178" t="n"/>
      <c r="H42" s="178" t="n"/>
      <c r="I42" s="178" t="n"/>
      <c r="J42" s="178" t="n"/>
      <c r="K42" s="179" t="n"/>
      <c r="L42" s="188" t="n">
        <v>1000</v>
      </c>
      <c r="M42" s="180">
        <f>SUM(C42:L42)</f>
        <v>1000</v>
      </c>
    </row>
    <row r="43" ht="16.5" customHeight="1" s="82">
      <c r="A43" s="176" t="n"/>
      <c r="B43" s="181" t="inlineStr">
        <is>
          <t>심근병증</t>
        </is>
      </c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80">
        <f>SUM(C43:L43)</f>
        <v>0</v>
      </c>
    </row>
    <row r="44" ht="17.25" customHeight="1" s="82">
      <c r="A44" s="176" t="n"/>
      <c r="B44" s="181" t="inlineStr">
        <is>
          <t>심장판막</t>
        </is>
      </c>
      <c r="C44" s="179" t="n"/>
      <c r="D44" s="179" t="n"/>
      <c r="E44" s="179" t="n"/>
      <c r="F44" s="179" t="n"/>
      <c r="G44" s="179" t="n"/>
      <c r="H44" s="179" t="n"/>
      <c r="I44" s="179" t="n"/>
      <c r="J44" s="179" t="n"/>
      <c r="K44" s="179" t="n"/>
      <c r="L44" s="179" t="n"/>
      <c r="M44" s="180">
        <f>SUM(C44:L44)</f>
        <v>0</v>
      </c>
    </row>
    <row r="45" ht="17.25" customHeight="1" s="82">
      <c r="A45" s="176" t="n"/>
      <c r="B45" s="181" t="inlineStr">
        <is>
          <t>산정특례심장</t>
        </is>
      </c>
      <c r="C45" s="178" t="n"/>
      <c r="D45" s="178" t="n"/>
      <c r="E45" s="178" t="n"/>
      <c r="F45" s="178" t="n"/>
      <c r="G45" s="178" t="n"/>
      <c r="H45" s="178" t="n"/>
      <c r="I45" s="178" t="n"/>
      <c r="J45" s="178" t="n"/>
      <c r="K45" s="179" t="n"/>
      <c r="L45" s="179" t="n"/>
      <c r="M45" s="180">
        <f>SUM(C45:L45)</f>
        <v>0</v>
      </c>
    </row>
    <row r="46" ht="16.5" customHeight="1" s="82">
      <c r="A46" s="176" t="n"/>
      <c r="B46" s="191" t="inlineStr">
        <is>
          <t>2대 주요치료비</t>
        </is>
      </c>
      <c r="C46" s="178" t="n"/>
      <c r="D46" s="178" t="n"/>
      <c r="E46" s="178" t="n"/>
      <c r="F46" s="178" t="n"/>
      <c r="G46" s="178" t="n"/>
      <c r="H46" s="178" t="n"/>
      <c r="I46" s="178" t="n"/>
      <c r="J46" s="178" t="n"/>
      <c r="K46" s="179" t="n"/>
      <c r="L46" s="179" t="n"/>
      <c r="M46" s="180">
        <f>SUM(C46:L46)</f>
        <v>0</v>
      </c>
    </row>
    <row r="47" ht="16.5" customHeight="1" s="82">
      <c r="A47" s="176" t="n"/>
      <c r="B47" s="191" t="inlineStr">
        <is>
          <t>허혈성 진단비</t>
        </is>
      </c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88" t="n">
        <v>1000</v>
      </c>
      <c r="L47" s="188" t="n">
        <v>1000</v>
      </c>
      <c r="M47" s="180">
        <f>SUM(C47:L47)</f>
        <v>2000</v>
      </c>
    </row>
    <row r="48" ht="16.5" customHeight="1" s="82">
      <c r="A48" s="176" t="n"/>
      <c r="B48" s="177" t="inlineStr">
        <is>
          <t>급성심근경색</t>
        </is>
      </c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88" t="n">
        <v>700</v>
      </c>
      <c r="L48" s="179" t="n"/>
      <c r="M48" s="180">
        <f>SUM(C48:L48)</f>
        <v>700</v>
      </c>
    </row>
    <row r="49" ht="16.5" customHeight="1" s="82">
      <c r="A49" s="182" t="n"/>
      <c r="B49" s="192" t="inlineStr">
        <is>
          <t>중대한 급성심근</t>
        </is>
      </c>
      <c r="C49" s="184" t="n"/>
      <c r="D49" s="184" t="n"/>
      <c r="E49" s="184" t="n"/>
      <c r="F49" s="184" t="n"/>
      <c r="G49" s="184" t="n"/>
      <c r="H49" s="184" t="n"/>
      <c r="I49" s="184" t="n"/>
      <c r="J49" s="184" t="n"/>
      <c r="K49" s="160" t="n"/>
      <c r="L49" s="160" t="n"/>
      <c r="M49" s="165">
        <f>SUM(C49:L49)</f>
        <v>0</v>
      </c>
    </row>
    <row r="50" ht="16.5" customHeight="1" s="82">
      <c r="A50" s="185" t="inlineStr">
        <is>
          <t>일당</t>
        </is>
      </c>
      <c r="B50" s="181" t="inlineStr">
        <is>
          <t>혈전용해치료비</t>
        </is>
      </c>
      <c r="C50" s="178" t="n"/>
      <c r="D50" s="178" t="n"/>
      <c r="E50" s="178" t="n"/>
      <c r="F50" s="178" t="n"/>
      <c r="G50" s="178" t="n"/>
      <c r="H50" s="178" t="n"/>
      <c r="I50" s="178" t="n"/>
      <c r="J50" s="178" t="n"/>
      <c r="K50" s="188" t="n">
        <v>200</v>
      </c>
      <c r="L50" s="188" t="n">
        <v>1000</v>
      </c>
      <c r="M50" s="180">
        <f>SUM(C50:L50)</f>
        <v>1200</v>
      </c>
    </row>
    <row r="51" ht="16.5" customHeight="1" s="82">
      <c r="A51" s="176" t="n"/>
      <c r="B51" s="181" t="inlineStr">
        <is>
          <t>질병일당</t>
        </is>
      </c>
      <c r="C51" s="178" t="n"/>
      <c r="D51" s="178" t="n"/>
      <c r="E51" s="178" t="n"/>
      <c r="F51" s="178" t="n"/>
      <c r="G51" s="178" t="n"/>
      <c r="H51" s="178" t="n"/>
      <c r="I51" s="178" t="n"/>
      <c r="J51" s="178" t="n"/>
      <c r="K51" s="179" t="n"/>
      <c r="L51" s="188" t="n">
        <v>1</v>
      </c>
      <c r="M51" s="180">
        <f>SUM(C51:L51)</f>
        <v>1</v>
      </c>
    </row>
    <row r="52" ht="16.5" customHeight="1" s="82">
      <c r="A52" s="176" t="n"/>
      <c r="B52" s="181" t="inlineStr">
        <is>
          <t>질병수술일당</t>
        </is>
      </c>
      <c r="C52" s="178" t="n"/>
      <c r="D52" s="178" t="n"/>
      <c r="E52" s="178" t="n"/>
      <c r="F52" s="178" t="n"/>
      <c r="G52" s="178" t="n"/>
      <c r="H52" s="178" t="n"/>
      <c r="I52" s="178" t="n"/>
      <c r="J52" s="178" t="n"/>
      <c r="K52" s="188" t="n">
        <v>2</v>
      </c>
      <c r="L52" s="179" t="n"/>
      <c r="M52" s="180">
        <f>SUM(C52:L52)</f>
        <v>2</v>
      </c>
    </row>
    <row r="53" ht="16.5" customHeight="1" s="82">
      <c r="A53" s="176" t="n"/>
      <c r="B53" s="181" t="inlineStr">
        <is>
          <t>질병종합병원일당</t>
        </is>
      </c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9" t="n"/>
      <c r="L53" s="179" t="n"/>
      <c r="M53" s="180">
        <f>SUM(C53:L53)</f>
        <v>0</v>
      </c>
    </row>
    <row r="54" ht="16.5" customHeight="1" s="82">
      <c r="A54" s="176" t="n"/>
      <c r="B54" s="181" t="inlineStr">
        <is>
          <t>상해일당</t>
        </is>
      </c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88" t="n">
        <v>1</v>
      </c>
      <c r="L54" s="179" t="n"/>
      <c r="M54" s="180">
        <f>SUM(C54:L54)</f>
        <v>1</v>
      </c>
    </row>
    <row r="55" ht="16.5" customHeight="1" s="82">
      <c r="A55" s="176" t="n"/>
      <c r="B55" s="181" t="inlineStr">
        <is>
          <t>상해수술일당</t>
        </is>
      </c>
      <c r="C55" s="178" t="n"/>
      <c r="D55" s="178" t="n"/>
      <c r="E55" s="178" t="n"/>
      <c r="F55" s="178" t="n"/>
      <c r="G55" s="178" t="n"/>
      <c r="H55" s="178" t="n"/>
      <c r="I55" s="178" t="n"/>
      <c r="J55" s="178" t="n"/>
      <c r="K55" s="188" t="n">
        <v>2</v>
      </c>
      <c r="L55" s="179" t="n"/>
      <c r="M55" s="180">
        <f>SUM(C55:L55)</f>
        <v>2</v>
      </c>
    </row>
    <row r="56" ht="16.5" customHeight="1" s="82">
      <c r="A56" s="176" t="n"/>
      <c r="B56" s="181" t="inlineStr">
        <is>
          <t>간병인</t>
        </is>
      </c>
      <c r="C56" s="178" t="n"/>
      <c r="D56" s="178" t="n"/>
      <c r="E56" s="178" t="n"/>
      <c r="F56" s="178" t="n"/>
      <c r="G56" s="178" t="n"/>
      <c r="H56" s="178" t="n"/>
      <c r="I56" s="178" t="n"/>
      <c r="J56" s="178" t="n"/>
      <c r="K56" s="179" t="n"/>
      <c r="L56" s="190" t="n">
        <v>0</v>
      </c>
      <c r="M56" s="180">
        <f>IF(COUNT(C56:L56)=0,0,MAX(C56:L56))</f>
        <v>0</v>
      </c>
    </row>
    <row r="57" ht="16.5" customHeight="1" s="82">
      <c r="A57" s="176" t="n"/>
      <c r="B57" s="181" t="inlineStr">
        <is>
          <t>간병인지원일당</t>
        </is>
      </c>
      <c r="C57" s="178" t="n"/>
      <c r="D57" s="178" t="n"/>
      <c r="E57" s="178" t="n"/>
      <c r="F57" s="178" t="n"/>
      <c r="G57" s="178" t="n"/>
      <c r="H57" s="178" t="n"/>
      <c r="I57" s="178" t="n"/>
      <c r="J57" s="178" t="n"/>
      <c r="K57" s="179" t="n"/>
      <c r="L57" s="179" t="n"/>
      <c r="M57" s="180">
        <f>SUM(C57:L57)</f>
        <v>0</v>
      </c>
    </row>
    <row r="58" ht="16.5" customHeight="1" s="82">
      <c r="A58" s="176" t="n"/>
      <c r="B58" s="181" t="inlineStr">
        <is>
          <t>간호통합병동</t>
        </is>
      </c>
      <c r="C58" s="178" t="n"/>
      <c r="D58" s="178" t="n"/>
      <c r="E58" s="178" t="n"/>
      <c r="F58" s="178" t="n"/>
      <c r="G58" s="178" t="n"/>
      <c r="H58" s="178" t="n"/>
      <c r="I58" s="178" t="n"/>
      <c r="J58" s="178" t="n"/>
      <c r="K58" s="179" t="n"/>
      <c r="L58" s="188" t="n">
        <v>0</v>
      </c>
      <c r="M58" s="180">
        <f>IF(SUM(C58:L58)&gt;0,7,0)</f>
        <v>0</v>
      </c>
    </row>
    <row r="59" ht="16.5" customHeight="1" s="82">
      <c r="A59" s="176" t="n"/>
      <c r="B59" s="191" t="inlineStr">
        <is>
          <t>1인실 종합병원</t>
        </is>
      </c>
      <c r="C59" s="178" t="n"/>
      <c r="D59" s="178" t="n"/>
      <c r="E59" s="178" t="n"/>
      <c r="F59" s="178" t="n"/>
      <c r="G59" s="178" t="n"/>
      <c r="H59" s="178" t="n"/>
      <c r="I59" s="178" t="n"/>
      <c r="J59" s="178" t="n"/>
      <c r="K59" s="179" t="n"/>
      <c r="L59" s="179" t="n"/>
      <c r="M59" s="180">
        <f>SUM(C59:L59)</f>
        <v>0</v>
      </c>
    </row>
    <row r="60" ht="16.5" customHeight="1" s="82">
      <c r="A60" s="176" t="n"/>
      <c r="B60" s="191" t="inlineStr">
        <is>
          <t>1인실 상급병원</t>
        </is>
      </c>
      <c r="C60" s="178" t="n"/>
      <c r="D60" s="178" t="n"/>
      <c r="E60" s="178" t="n"/>
      <c r="F60" s="178" t="n"/>
      <c r="G60" s="178" t="n"/>
      <c r="H60" s="178" t="n"/>
      <c r="I60" s="178" t="n"/>
      <c r="J60" s="178" t="n"/>
      <c r="K60" s="179" t="n"/>
      <c r="L60" s="179" t="n"/>
      <c r="M60" s="180">
        <f>SUM(C60:L60)</f>
        <v>0</v>
      </c>
    </row>
    <row r="61" ht="16.5" customHeight="1" s="82">
      <c r="A61" s="176" t="n"/>
      <c r="B61" s="181" t="inlineStr">
        <is>
          <t>질병중환자실</t>
        </is>
      </c>
      <c r="C61" s="178" t="n"/>
      <c r="D61" s="178" t="n"/>
      <c r="E61" s="178" t="n"/>
      <c r="F61" s="178" t="n"/>
      <c r="G61" s="178" t="n"/>
      <c r="H61" s="178" t="n"/>
      <c r="I61" s="178" t="n"/>
      <c r="J61" s="178" t="n"/>
      <c r="K61" s="188" t="n">
        <v>10</v>
      </c>
      <c r="L61" s="188" t="n">
        <v>10</v>
      </c>
      <c r="M61" s="180">
        <f>SUM(C61:L61)</f>
        <v>20</v>
      </c>
    </row>
    <row r="62" ht="17.25" customHeight="1" s="82">
      <c r="A62" s="182" t="n"/>
      <c r="B62" s="183" t="inlineStr">
        <is>
          <t>상해중환자실</t>
        </is>
      </c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64" t="n">
        <v>5</v>
      </c>
      <c r="L62" s="160" t="n"/>
      <c r="M62" s="165">
        <f>SUM(C62:L62)</f>
        <v>5</v>
      </c>
    </row>
    <row r="63" ht="17.25" customHeight="1" s="82">
      <c r="A63" s="185" t="inlineStr">
        <is>
          <t>수술</t>
        </is>
      </c>
      <c r="B63" s="181" t="inlineStr">
        <is>
          <t>상해수술비</t>
        </is>
      </c>
      <c r="C63" s="178" t="n"/>
      <c r="D63" s="178" t="n"/>
      <c r="E63" s="178" t="n"/>
      <c r="F63" s="178" t="n"/>
      <c r="G63" s="178" t="n"/>
      <c r="H63" s="178" t="n"/>
      <c r="I63" s="178" t="n"/>
      <c r="J63" s="178" t="n"/>
      <c r="K63" s="188" t="n">
        <v>100</v>
      </c>
      <c r="L63" s="179" t="n"/>
      <c r="M63" s="180">
        <f>SUM(C63:L63)</f>
        <v>100</v>
      </c>
    </row>
    <row r="64" ht="16.5" customHeight="1" s="82">
      <c r="A64" s="176" t="n"/>
      <c r="B64" s="181" t="inlineStr">
        <is>
          <t>중대한상해수술비</t>
        </is>
      </c>
      <c r="C64" s="178" t="n"/>
      <c r="D64" s="178" t="n"/>
      <c r="E64" s="178" t="n"/>
      <c r="F64" s="178" t="n"/>
      <c r="G64" s="178" t="n"/>
      <c r="H64" s="178" t="n"/>
      <c r="I64" s="178" t="n"/>
      <c r="J64" s="178" t="n"/>
      <c r="K64" s="188" t="n">
        <v>1000</v>
      </c>
      <c r="L64" s="179" t="n"/>
      <c r="M64" s="180">
        <f>SUM(C64:L64)</f>
        <v>1000</v>
      </c>
    </row>
    <row r="65" ht="16.5" customHeight="1" s="82">
      <c r="A65" s="176" t="n"/>
      <c r="B65" s="181" t="inlineStr">
        <is>
          <t>상해 종수술비(1-5종)</t>
        </is>
      </c>
      <c r="C65" s="178" t="n"/>
      <c r="D65" s="178" t="n"/>
      <c r="E65" s="178" t="n"/>
      <c r="F65" s="189" t="n"/>
      <c r="G65" s="178" t="n"/>
      <c r="H65" s="178" t="n"/>
      <c r="I65" s="178" t="n"/>
      <c r="J65" s="178" t="n"/>
      <c r="K65" s="193" t="inlineStr">
        <is>
          <t>20/50/100/300/600</t>
        </is>
      </c>
      <c r="L65" s="179" t="n"/>
      <c r="M65" s="194" t="inlineStr">
        <is>
          <t>20/50/100/300/600</t>
        </is>
      </c>
    </row>
    <row r="66" ht="16.5" customHeight="1" s="82">
      <c r="A66" s="176" t="n"/>
      <c r="B66" s="181" t="inlineStr">
        <is>
          <t>상해 종수술비(1-8종)</t>
        </is>
      </c>
      <c r="C66" s="178" t="n"/>
      <c r="D66" s="178" t="n"/>
      <c r="E66" s="178" t="n"/>
      <c r="F66" s="189" t="n"/>
      <c r="G66" s="178" t="n"/>
      <c r="H66" s="178" t="n"/>
      <c r="I66" s="178" t="n"/>
      <c r="J66" s="178" t="n"/>
      <c r="K66" s="179" t="n"/>
      <c r="L66" s="179" t="n"/>
      <c r="M66" s="180">
        <f>SUM(C66:L66)</f>
        <v>0</v>
      </c>
    </row>
    <row r="67" ht="16.5" customHeight="1" s="82">
      <c r="A67" s="176" t="n"/>
      <c r="B67" s="181" t="inlineStr">
        <is>
          <t>창상봉합술</t>
        </is>
      </c>
      <c r="C67" s="178" t="n"/>
      <c r="D67" s="178" t="n"/>
      <c r="E67" s="178" t="n"/>
      <c r="F67" s="178" t="n"/>
      <c r="G67" s="178" t="n"/>
      <c r="H67" s="178" t="n"/>
      <c r="I67" s="178" t="n"/>
      <c r="J67" s="187" t="n">
        <v>5</v>
      </c>
      <c r="K67" s="179" t="n"/>
      <c r="L67" s="188" t="n">
        <v>50</v>
      </c>
      <c r="M67" s="180">
        <f>SUM(C67:L67)</f>
        <v>55</v>
      </c>
    </row>
    <row r="68" ht="17.25" customHeight="1" s="82">
      <c r="A68" s="176" t="n"/>
      <c r="B68" s="181" t="inlineStr">
        <is>
          <t>골절수술비</t>
        </is>
      </c>
      <c r="C68" s="178" t="n"/>
      <c r="D68" s="178" t="n"/>
      <c r="E68" s="178" t="n"/>
      <c r="F68" s="178" t="n"/>
      <c r="G68" s="178" t="n"/>
      <c r="H68" s="178" t="n"/>
      <c r="I68" s="178" t="n"/>
      <c r="J68" s="178" t="n"/>
      <c r="K68" s="188" t="n">
        <v>120</v>
      </c>
      <c r="L68" s="179" t="n"/>
      <c r="M68" s="180">
        <f>SUM(C68:L68)</f>
        <v>120</v>
      </c>
    </row>
    <row r="69" ht="16.5" customHeight="1" s="82">
      <c r="A69" s="176" t="n"/>
      <c r="B69" s="191" t="inlineStr">
        <is>
          <t>5대골절수술비</t>
        </is>
      </c>
      <c r="C69" s="178" t="n"/>
      <c r="D69" s="178" t="n"/>
      <c r="E69" s="178" t="n"/>
      <c r="F69" s="178" t="n"/>
      <c r="G69" s="178" t="n"/>
      <c r="H69" s="178" t="n"/>
      <c r="I69" s="178" t="n"/>
      <c r="J69" s="178" t="n"/>
      <c r="K69" s="179" t="n"/>
      <c r="L69" s="179" t="n"/>
      <c r="M69" s="180">
        <f>SUM(C69:L69)</f>
        <v>0</v>
      </c>
    </row>
    <row r="70" ht="16.5" customHeight="1" s="82">
      <c r="A70" s="176" t="n"/>
      <c r="B70" s="181" t="inlineStr">
        <is>
          <t>화상수술비</t>
        </is>
      </c>
      <c r="C70" s="178" t="n"/>
      <c r="D70" s="178" t="n"/>
      <c r="E70" s="178" t="n"/>
      <c r="F70" s="178" t="n"/>
      <c r="G70" s="178" t="n"/>
      <c r="H70" s="178" t="n"/>
      <c r="I70" s="178" t="n"/>
      <c r="J70" s="187" t="n">
        <v>10</v>
      </c>
      <c r="K70" s="188" t="n">
        <v>30</v>
      </c>
      <c r="L70" s="179" t="n"/>
      <c r="M70" s="180">
        <f>SUM(C70:L70)</f>
        <v>40</v>
      </c>
    </row>
    <row r="71" ht="16.5" customHeight="1" s="82">
      <c r="A71" s="195" t="n"/>
      <c r="B71" s="196" t="inlineStr">
        <is>
          <t>질병수술비</t>
        </is>
      </c>
      <c r="C71" s="172" t="n"/>
      <c r="D71" s="172" t="n"/>
      <c r="E71" s="172" t="n"/>
      <c r="F71" s="172" t="n"/>
      <c r="G71" s="172" t="n"/>
      <c r="H71" s="172" t="n"/>
      <c r="I71" s="197" t="n"/>
      <c r="J71" s="172" t="n"/>
      <c r="K71" s="198" t="n">
        <v>30</v>
      </c>
      <c r="L71" s="198" t="n">
        <v>30</v>
      </c>
      <c r="M71" s="175">
        <f>SUM(C71:L71)</f>
        <v>60</v>
      </c>
    </row>
    <row r="72" ht="16.5" customHeight="1" s="82">
      <c r="A72" s="176" t="n"/>
      <c r="B72" s="181" t="inlineStr">
        <is>
          <t>질병 종수술비(1-5종)</t>
        </is>
      </c>
      <c r="C72" s="178" t="n"/>
      <c r="D72" s="178" t="n"/>
      <c r="E72" s="178" t="n"/>
      <c r="F72" s="189" t="n"/>
      <c r="G72" s="178" t="n"/>
      <c r="H72" s="178" t="n"/>
      <c r="I72" s="178" t="n"/>
      <c r="J72" s="178" t="n"/>
      <c r="K72" s="179" t="n"/>
      <c r="L72" s="193" t="inlineStr">
        <is>
          <t>20/30/200/500/1000</t>
        </is>
      </c>
      <c r="M72" s="194" t="inlineStr">
        <is>
          <t>20/30/200/500/1000</t>
        </is>
      </c>
    </row>
    <row r="73" ht="16.5" customHeight="1" s="82">
      <c r="A73" s="176" t="n"/>
      <c r="B73" s="181" t="inlineStr">
        <is>
          <t>질병 종수술비(1-8종)</t>
        </is>
      </c>
      <c r="C73" s="178" t="n"/>
      <c r="D73" s="178" t="n"/>
      <c r="E73" s="178" t="n"/>
      <c r="F73" s="189" t="n"/>
      <c r="G73" s="178" t="n"/>
      <c r="H73" s="178" t="n"/>
      <c r="I73" s="178" t="n"/>
      <c r="J73" s="178" t="n"/>
      <c r="K73" s="179" t="n"/>
      <c r="L73" s="179" t="n"/>
      <c r="M73" s="180">
        <f>SUM(C73:L73)</f>
        <v>0</v>
      </c>
    </row>
    <row r="74" ht="16.5" customHeight="1" s="82">
      <c r="A74" s="176" t="n"/>
      <c r="B74" s="181" t="inlineStr">
        <is>
          <t>뇌혈관수술비</t>
        </is>
      </c>
      <c r="C74" s="178" t="n"/>
      <c r="D74" s="178" t="n"/>
      <c r="E74" s="178" t="n"/>
      <c r="F74" s="178" t="n"/>
      <c r="G74" s="178" t="n"/>
      <c r="H74" s="178" t="n"/>
      <c r="I74" s="178" t="n"/>
      <c r="J74" s="178" t="n"/>
      <c r="K74" s="179" t="n"/>
      <c r="L74" s="179" t="n"/>
      <c r="M74" s="180">
        <f>SUM(C74:L74)</f>
        <v>0</v>
      </c>
    </row>
    <row r="75" ht="16.5" customHeight="1" s="82">
      <c r="A75" s="176" t="n"/>
      <c r="B75" s="181" t="inlineStr">
        <is>
          <t>허혈성수술비</t>
        </is>
      </c>
      <c r="C75" s="178" t="n"/>
      <c r="D75" s="178" t="n"/>
      <c r="E75" s="178" t="n"/>
      <c r="F75" s="178" t="n"/>
      <c r="G75" s="178" t="n"/>
      <c r="H75" s="178" t="n"/>
      <c r="I75" s="178" t="n"/>
      <c r="J75" s="178" t="n"/>
      <c r="K75" s="179" t="n"/>
      <c r="L75" s="179" t="n"/>
      <c r="M75" s="180">
        <f>SUM(C75:L75)</f>
        <v>0</v>
      </c>
    </row>
    <row r="76" ht="17.25" customHeight="1" s="82">
      <c r="A76" s="176" t="n"/>
      <c r="B76" s="181" t="inlineStr">
        <is>
          <t>심장수술비</t>
        </is>
      </c>
      <c r="C76" s="178" t="n"/>
      <c r="D76" s="178" t="n"/>
      <c r="E76" s="178" t="n"/>
      <c r="F76" s="178" t="n"/>
      <c r="G76" s="178" t="n"/>
      <c r="H76" s="178" t="n"/>
      <c r="I76" s="178" t="n"/>
      <c r="J76" s="178" t="n"/>
      <c r="K76" s="179" t="n"/>
      <c r="L76" s="179" t="n"/>
      <c r="M76" s="180">
        <f>SUM(C76:L76)</f>
        <v>0</v>
      </c>
    </row>
    <row r="77" ht="16.5" customHeight="1" s="82">
      <c r="A77" s="176" t="n"/>
      <c r="B77" s="191" t="inlineStr">
        <is>
          <t>120대수술비</t>
        </is>
      </c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9" t="n"/>
      <c r="L77" s="188" t="n">
        <v>1000</v>
      </c>
      <c r="M77" s="180">
        <f>IF(COUNT(C77:L77)=0,0,MAX(C77:L77))</f>
        <v>1000</v>
      </c>
    </row>
    <row r="78" ht="16.5" customHeight="1" s="82">
      <c r="A78" s="176" t="n"/>
      <c r="B78" s="191" t="inlineStr">
        <is>
          <t>5대기관 수술비 관혈</t>
        </is>
      </c>
      <c r="C78" s="178" t="n"/>
      <c r="D78" s="178" t="n"/>
      <c r="E78" s="178" t="n"/>
      <c r="F78" s="178" t="n"/>
      <c r="G78" s="178" t="n"/>
      <c r="H78" s="178" t="n"/>
      <c r="I78" s="178" t="n"/>
      <c r="J78" s="178" t="n"/>
      <c r="K78" s="179" t="n"/>
      <c r="L78" s="179" t="n"/>
      <c r="M78" s="180">
        <f>SUM(C78:L78)</f>
        <v>0</v>
      </c>
    </row>
    <row r="79" ht="17.25" customHeight="1" s="82">
      <c r="A79" s="182" t="n"/>
      <c r="B79" s="199" t="inlineStr">
        <is>
          <t>5대기관 수술비 비관혈</t>
        </is>
      </c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60" t="n"/>
      <c r="L79" s="160" t="n"/>
      <c r="M79" s="165">
        <f>SUM(C79:L79)</f>
        <v>0</v>
      </c>
    </row>
    <row r="80" ht="17.25" customHeight="1" s="82">
      <c r="A80" s="185" t="inlineStr">
        <is>
          <t>운전</t>
        </is>
      </c>
      <c r="B80" s="181" t="inlineStr">
        <is>
          <t>대인</t>
        </is>
      </c>
      <c r="C80" s="178" t="n"/>
      <c r="D80" s="178" t="n"/>
      <c r="E80" s="178" t="n"/>
      <c r="F80" s="178" t="n"/>
      <c r="G80" s="178" t="n"/>
      <c r="H80" s="178" t="n"/>
      <c r="I80" s="178" t="n"/>
      <c r="J80" s="187" t="n">
        <v>3000</v>
      </c>
      <c r="K80" s="179" t="n"/>
      <c r="L80" s="179" t="n"/>
      <c r="M80" s="180">
        <f>SUM(C80:L80)</f>
        <v>3000</v>
      </c>
    </row>
    <row r="81" ht="17.25" customHeight="1" s="82">
      <c r="A81" s="176" t="n"/>
      <c r="B81" s="181" t="inlineStr">
        <is>
          <t>대물</t>
        </is>
      </c>
      <c r="C81" s="178" t="n"/>
      <c r="D81" s="178" t="n"/>
      <c r="E81" s="178" t="n"/>
      <c r="F81" s="178" t="n"/>
      <c r="G81" s="178" t="n"/>
      <c r="H81" s="178" t="n"/>
      <c r="I81" s="178" t="n"/>
      <c r="J81" s="187" t="n">
        <v>500</v>
      </c>
      <c r="K81" s="179" t="n"/>
      <c r="L81" s="179" t="n"/>
      <c r="M81" s="180">
        <f>SUM(C81:L81)</f>
        <v>500</v>
      </c>
    </row>
    <row r="82" ht="16.5" customHeight="1" s="82">
      <c r="A82" s="176" t="n"/>
      <c r="B82" s="181" t="inlineStr">
        <is>
          <t>합의금</t>
        </is>
      </c>
      <c r="C82" s="178" t="n"/>
      <c r="D82" s="178" t="n"/>
      <c r="E82" s="178" t="n"/>
      <c r="F82" s="178" t="n"/>
      <c r="G82" s="178" t="n"/>
      <c r="H82" s="178" t="n"/>
      <c r="I82" s="178" t="n"/>
      <c r="J82" s="187" t="n">
        <v>20000</v>
      </c>
      <c r="K82" s="179" t="n"/>
      <c r="L82" s="179" t="n"/>
      <c r="M82" s="180">
        <f>SUM(C82:L82)</f>
        <v>20000</v>
      </c>
    </row>
    <row r="83" ht="17.25" customHeight="1" s="82">
      <c r="A83" s="176" t="n"/>
      <c r="B83" s="191" t="inlineStr">
        <is>
          <t>6주미만</t>
        </is>
      </c>
      <c r="C83" s="178" t="n"/>
      <c r="D83" s="178" t="n"/>
      <c r="E83" s="178" t="n"/>
      <c r="F83" s="178" t="n"/>
      <c r="G83" s="178" t="n"/>
      <c r="H83" s="178" t="n"/>
      <c r="I83" s="178" t="n"/>
      <c r="J83" s="187" t="n">
        <v>1000</v>
      </c>
      <c r="K83" s="179" t="n"/>
      <c r="L83" s="179" t="n"/>
      <c r="M83" s="180">
        <f>SUM(C83:L83)</f>
        <v>1000</v>
      </c>
    </row>
    <row r="84" ht="16.5" customHeight="1" s="82">
      <c r="A84" s="176" t="n"/>
      <c r="B84" s="181" t="inlineStr">
        <is>
          <t>변호사</t>
        </is>
      </c>
      <c r="C84" s="178" t="n"/>
      <c r="D84" s="178" t="n"/>
      <c r="E84" s="178" t="n"/>
      <c r="F84" s="178" t="n"/>
      <c r="G84" s="178" t="n"/>
      <c r="H84" s="178" t="n"/>
      <c r="I84" s="178" t="n"/>
      <c r="J84" s="187" t="n">
        <v>5000</v>
      </c>
      <c r="K84" s="179" t="n"/>
      <c r="L84" s="179" t="n"/>
      <c r="M84" s="180">
        <f>SUM(C84:L84)</f>
        <v>5000</v>
      </c>
    </row>
    <row r="85" ht="17.25" customHeight="1" s="82">
      <c r="A85" s="182" t="n"/>
      <c r="B85" s="183" t="inlineStr">
        <is>
          <t>자부상</t>
        </is>
      </c>
      <c r="C85" s="184" t="n"/>
      <c r="D85" s="184" t="n"/>
      <c r="E85" s="184" t="n"/>
      <c r="F85" s="184" t="n"/>
      <c r="G85" s="184" t="n"/>
      <c r="H85" s="184" t="n"/>
      <c r="I85" s="184" t="n"/>
      <c r="J85" s="163" t="n">
        <v>30</v>
      </c>
      <c r="K85" s="160" t="n"/>
      <c r="L85" s="160" t="n"/>
      <c r="M85" s="165">
        <f>MIN(SUM(C85:L85),80)</f>
        <v>30</v>
      </c>
    </row>
    <row r="86" ht="16.5" customHeight="1" s="82">
      <c r="A86" s="185" t="inlineStr">
        <is>
          <t>골절</t>
        </is>
      </c>
      <c r="B86" s="181" t="inlineStr">
        <is>
          <t>골절(치아파절포함)</t>
        </is>
      </c>
      <c r="C86" s="178" t="n"/>
      <c r="D86" s="178" t="n"/>
      <c r="E86" s="178" t="n"/>
      <c r="F86" s="178" t="n"/>
      <c r="G86" s="178" t="n"/>
      <c r="H86" s="178" t="n"/>
      <c r="I86" s="178" t="n"/>
      <c r="J86" s="178" t="n"/>
      <c r="K86" s="188" t="n">
        <v>30</v>
      </c>
      <c r="L86" s="179" t="n"/>
      <c r="M86" s="180">
        <f>SUM(C86:L86)</f>
        <v>30</v>
      </c>
    </row>
    <row r="87" ht="16.5" customHeight="1" s="82">
      <c r="A87" s="176" t="n"/>
      <c r="B87" s="181" t="inlineStr">
        <is>
          <t>골절(치아파절제외)</t>
        </is>
      </c>
      <c r="C87" s="178" t="n"/>
      <c r="D87" s="178" t="n"/>
      <c r="E87" s="178" t="n"/>
      <c r="F87" s="178" t="n"/>
      <c r="G87" s="178" t="n"/>
      <c r="H87" s="178" t="n"/>
      <c r="I87" s="178" t="n"/>
      <c r="J87" s="178" t="n"/>
      <c r="K87" s="179" t="n"/>
      <c r="L87" s="179" t="n"/>
      <c r="M87" s="180">
        <f>SUM(C87:L87)</f>
        <v>0</v>
      </c>
    </row>
    <row r="88" ht="17.25" customHeight="1" s="82">
      <c r="A88" s="182" t="n"/>
      <c r="B88" s="199" t="inlineStr">
        <is>
          <t>5대골절진단비</t>
        </is>
      </c>
      <c r="C88" s="184" t="n"/>
      <c r="D88" s="184" t="n"/>
      <c r="E88" s="184" t="n"/>
      <c r="F88" s="184" t="n"/>
      <c r="G88" s="184" t="n"/>
      <c r="H88" s="184" t="n"/>
      <c r="I88" s="184" t="n"/>
      <c r="J88" s="184" t="n"/>
      <c r="K88" s="164" t="n">
        <v>100</v>
      </c>
      <c r="L88" s="160" t="n"/>
      <c r="M88" s="165">
        <f>SUM(C88:L88)</f>
        <v>100</v>
      </c>
    </row>
    <row r="89" ht="17.25" customHeight="1" s="82">
      <c r="A89" s="200" t="inlineStr">
        <is>
          <t>응급실</t>
        </is>
      </c>
      <c r="B89" s="183" t="inlineStr">
        <is>
          <t>응급실(응급)</t>
        </is>
      </c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64" t="n">
        <v>1</v>
      </c>
      <c r="L89" s="160" t="n"/>
      <c r="M89" s="165">
        <f>SUM(C89:L89)</f>
        <v>1</v>
      </c>
    </row>
    <row r="90">
      <c r="A90" s="200" t="inlineStr">
        <is>
          <t>독감</t>
        </is>
      </c>
      <c r="B90" s="183" t="inlineStr">
        <is>
          <t>독감</t>
        </is>
      </c>
      <c r="C90" s="184" t="n"/>
      <c r="D90" s="184" t="n"/>
      <c r="E90" s="184" t="n"/>
      <c r="F90" s="184" t="n"/>
      <c r="G90" s="184" t="n"/>
      <c r="H90" s="184" t="n"/>
      <c r="I90" s="184" t="n"/>
      <c r="J90" s="184" t="n"/>
      <c r="K90" s="160" t="n"/>
      <c r="L90" s="160" t="n"/>
      <c r="M90" s="165">
        <f>SUM(C90:L90)</f>
        <v>0</v>
      </c>
    </row>
    <row r="91">
      <c r="A91" s="185" t="inlineStr">
        <is>
          <t>화상</t>
        </is>
      </c>
      <c r="B91" s="181" t="inlineStr">
        <is>
          <t>화상진단비</t>
        </is>
      </c>
      <c r="C91" s="178" t="n"/>
      <c r="D91" s="178" t="n"/>
      <c r="E91" s="178" t="n"/>
      <c r="F91" s="178" t="n"/>
      <c r="G91" s="178" t="n"/>
      <c r="H91" s="178" t="n"/>
      <c r="I91" s="178" t="n"/>
      <c r="J91" s="187" t="n">
        <v>10</v>
      </c>
      <c r="K91" s="188" t="n">
        <v>30</v>
      </c>
      <c r="L91" s="179" t="n"/>
      <c r="M91" s="180">
        <f>SUM(C91:L91)</f>
        <v>40</v>
      </c>
    </row>
    <row r="92">
      <c r="A92" s="182" t="n"/>
      <c r="B92" s="183" t="inlineStr">
        <is>
          <t>중증화상진단비</t>
        </is>
      </c>
      <c r="C92" s="184" t="n"/>
      <c r="D92" s="184" t="n"/>
      <c r="E92" s="184" t="n"/>
      <c r="F92" s="184" t="n"/>
      <c r="G92" s="184" t="n"/>
      <c r="H92" s="184" t="n"/>
      <c r="I92" s="184" t="n"/>
      <c r="J92" s="163" t="n">
        <v>3000</v>
      </c>
      <c r="K92" s="160" t="n"/>
      <c r="L92" s="160" t="n"/>
      <c r="M92" s="165">
        <f>SUM(C92:L92)</f>
        <v>3000</v>
      </c>
    </row>
    <row r="93">
      <c r="A93" s="185" t="inlineStr">
        <is>
          <t>깁스</t>
        </is>
      </c>
      <c r="B93" s="181" t="inlineStr">
        <is>
          <t>반깁스</t>
        </is>
      </c>
      <c r="C93" s="178" t="n"/>
      <c r="D93" s="178" t="n"/>
      <c r="E93" s="178" t="n"/>
      <c r="F93" s="178" t="n"/>
      <c r="G93" s="178" t="n"/>
      <c r="H93" s="178" t="n"/>
      <c r="I93" s="178" t="n"/>
      <c r="J93" s="178" t="n"/>
      <c r="K93" s="179" t="n"/>
      <c r="L93" s="179" t="n"/>
      <c r="M93" s="180">
        <f>SUM(C93:L93)</f>
        <v>0</v>
      </c>
    </row>
    <row r="94">
      <c r="A94" s="182" t="n"/>
      <c r="B94" s="183" t="inlineStr">
        <is>
          <t>깁스진단비</t>
        </is>
      </c>
      <c r="C94" s="184" t="n"/>
      <c r="D94" s="184" t="n"/>
      <c r="E94" s="184" t="n"/>
      <c r="F94" s="184" t="n"/>
      <c r="G94" s="184" t="n"/>
      <c r="H94" s="184" t="n"/>
      <c r="I94" s="184" t="n"/>
      <c r="J94" s="184" t="n"/>
      <c r="K94" s="164" t="n">
        <v>30</v>
      </c>
      <c r="L94" s="160" t="n"/>
      <c r="M94" s="165">
        <f>SUM(C94:L94)</f>
        <v>30</v>
      </c>
    </row>
    <row r="95" s="82">
      <c r="A95" s="185" t="inlineStr">
        <is>
          <t>실손</t>
        </is>
      </c>
      <c r="B95" s="181" t="inlineStr">
        <is>
          <t>입원</t>
        </is>
      </c>
      <c r="C95" s="187" t="n">
        <v>5000</v>
      </c>
      <c r="D95" s="189" t="n"/>
      <c r="E95" s="189" t="n"/>
      <c r="F95" s="189" t="n"/>
      <c r="G95" s="189" t="n"/>
      <c r="H95" s="189" t="n"/>
      <c r="I95" s="189" t="n"/>
      <c r="J95" s="178" t="n"/>
      <c r="K95" s="190" t="n">
        <v>5000</v>
      </c>
      <c r="L95" s="179" t="n"/>
      <c r="M95" s="180">
        <f>MIN(SUM(C95:L95),5000)</f>
        <v>5000</v>
      </c>
    </row>
    <row r="96" s="82">
      <c r="A96" s="176" t="n"/>
      <c r="B96" s="181" t="inlineStr">
        <is>
          <t>통원</t>
        </is>
      </c>
      <c r="C96" s="187" t="n">
        <v>20</v>
      </c>
      <c r="D96" s="189" t="n"/>
      <c r="E96" s="189" t="n"/>
      <c r="F96" s="189" t="n"/>
      <c r="G96" s="189" t="n"/>
      <c r="H96" s="189" t="n"/>
      <c r="I96" s="189" t="n"/>
      <c r="J96" s="178" t="n"/>
      <c r="K96" s="190" t="n">
        <v>25</v>
      </c>
      <c r="L96" s="179" t="n"/>
      <c r="M96" s="180">
        <f>SUM(C96:L96)</f>
        <v>45</v>
      </c>
    </row>
    <row r="97">
      <c r="A97" s="176" t="n"/>
      <c r="B97" s="181" t="inlineStr">
        <is>
          <t>약값</t>
        </is>
      </c>
      <c r="C97" s="187" t="n">
        <v>10</v>
      </c>
      <c r="D97" s="178" t="n"/>
      <c r="E97" s="178" t="n"/>
      <c r="F97" s="178" t="n"/>
      <c r="G97" s="178" t="n"/>
      <c r="H97" s="178" t="n"/>
      <c r="I97" s="189" t="n"/>
      <c r="J97" s="178" t="n"/>
      <c r="K97" s="190" t="n">
        <v>5</v>
      </c>
      <c r="L97" s="179" t="n"/>
      <c r="M97" s="180">
        <f>SUM(C97:L97)</f>
        <v>15</v>
      </c>
    </row>
    <row r="98">
      <c r="A98" s="182" t="n"/>
      <c r="B98" s="183" t="inlineStr">
        <is>
          <t>MRI/도수치료/비급여주사</t>
        </is>
      </c>
      <c r="C98" s="184" t="n"/>
      <c r="D98" s="184" t="n"/>
      <c r="E98" s="184" t="n"/>
      <c r="F98" s="184" t="n"/>
      <c r="G98" s="184" t="n"/>
      <c r="H98" s="184" t="n"/>
      <c r="I98" s="201" t="n"/>
      <c r="J98" s="184" t="n"/>
      <c r="K98" s="160" t="n"/>
      <c r="L98" s="160" t="n"/>
      <c r="M98" s="165">
        <f>SUM(C98:L98)</f>
        <v>0</v>
      </c>
    </row>
    <row r="99">
      <c r="A99" s="200" t="inlineStr">
        <is>
          <t>일배책</t>
        </is>
      </c>
      <c r="B99" s="183" t="inlineStr">
        <is>
          <t>일상배상책임</t>
        </is>
      </c>
      <c r="C99" s="201" t="n"/>
      <c r="D99" s="201" t="n"/>
      <c r="E99" s="201" t="n"/>
      <c r="F99" s="201" t="n"/>
      <c r="G99" s="201" t="n"/>
      <c r="H99" s="201" t="n"/>
      <c r="I99" s="201" t="n"/>
      <c r="J99" s="184" t="n"/>
      <c r="K99" s="202" t="n">
        <v>10000</v>
      </c>
      <c r="L99" s="160" t="n"/>
      <c r="M99" s="165">
        <f>SUM(C99:L99)</f>
        <v>10000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한은주 · 자동분석 2026.07.03</t>
        </is>
      </c>
    </row>
    <row r="3">
      <c r="A3" t="inlineStr">
        <is>
          <t>계약수</t>
        </is>
      </c>
      <c r="B3" t="n">
        <v>10</v>
      </c>
    </row>
    <row r="4">
      <c r="A4" t="inlineStr">
        <is>
          <t>월보험료합계</t>
        </is>
      </c>
      <c r="B4" t="inlineStr">
        <is>
          <t>1,000,265원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삼성생명</t>
        </is>
      </c>
      <c r="B8" t="inlineStr">
        <is>
          <t>퍼펙트Up통합보험3.0無_표준체</t>
        </is>
      </c>
      <c r="C8" t="n">
        <v>20000</v>
      </c>
      <c r="D8" t="inlineStr"/>
      <c r="E8" s="203" t="inlineStr">
        <is>
          <t>🔗약관검색</t>
        </is>
      </c>
    </row>
    <row r="9">
      <c r="A9" t="inlineStr">
        <is>
          <t>라이나생명</t>
        </is>
      </c>
      <c r="B9" t="inlineStr">
        <is>
          <t>(H)치과치료(보존치료)</t>
        </is>
      </c>
      <c r="C9" t="n">
        <v>50</v>
      </c>
      <c r="D9" t="inlineStr"/>
      <c r="E9" s="203" t="inlineStr">
        <is>
          <t>🔗약관검색</t>
        </is>
      </c>
    </row>
    <row r="10">
      <c r="A10" t="inlineStr">
        <is>
          <t>라이나생명</t>
        </is>
      </c>
      <c r="B10" t="inlineStr">
        <is>
          <t>(H)치과치료(보철치료)</t>
        </is>
      </c>
      <c r="C10" t="n">
        <v>150</v>
      </c>
      <c r="D10" t="inlineStr"/>
      <c r="E10" s="203" t="inlineStr">
        <is>
          <t>🔗약관검색</t>
        </is>
      </c>
    </row>
    <row r="11">
      <c r="A11" t="inlineStr">
        <is>
          <t>동양생명</t>
        </is>
      </c>
      <c r="B11" t="inlineStr">
        <is>
          <t>재가급여(1~5종)_(무)장기요양재가급여보장특약D_장기요양1~5등급형_(표준형)주야간보호보장_(무)장기요양(1~인지지원등급)주∬야간보호보장특약D(표준형)</t>
        </is>
      </c>
      <c r="C11" t="n">
        <v>0</v>
      </c>
      <c r="D11" t="inlineStr"/>
      <c r="E11" s="203" t="inlineStr">
        <is>
          <t>🔗약관검색</t>
        </is>
      </c>
    </row>
    <row r="12">
      <c r="A12" t="inlineStr">
        <is>
          <t>메리츠화재</t>
        </is>
      </c>
      <c r="B12" t="inlineStr">
        <is>
          <t>갱신형 상해흉터복원수술비</t>
        </is>
      </c>
      <c r="C12" t="n">
        <v>500</v>
      </c>
      <c r="D12" t="inlineStr"/>
      <c r="E12" s="203" t="inlineStr">
        <is>
          <t>🔗약관검색</t>
        </is>
      </c>
    </row>
    <row r="13">
      <c r="A13" t="inlineStr">
        <is>
          <t>메리츠화재</t>
        </is>
      </c>
      <c r="B13" t="inlineStr">
        <is>
          <t>갱신형 인공관절수술비</t>
        </is>
      </c>
      <c r="C13" t="n">
        <v>50</v>
      </c>
      <c r="D13" t="inlineStr"/>
      <c r="E13" s="203" t="inlineStr">
        <is>
          <t>🔗약관검색</t>
        </is>
      </c>
    </row>
    <row r="14">
      <c r="A14" t="inlineStr">
        <is>
          <t>메리츠화재</t>
        </is>
      </c>
      <c r="B14" t="inlineStr">
        <is>
          <t>갱신형 관절(무릎 고관절)수술비</t>
        </is>
      </c>
      <c r="C14" t="n">
        <v>10</v>
      </c>
      <c r="D14" t="inlineStr"/>
      <c r="E14" s="203" t="inlineStr">
        <is>
          <t>🔗약관검색</t>
        </is>
      </c>
    </row>
    <row r="15">
      <c r="A15" t="inlineStr">
        <is>
          <t>메리츠화재</t>
        </is>
      </c>
      <c r="B15" t="inlineStr">
        <is>
          <t>갱신형 무릎인대파열 연골손상수술비</t>
        </is>
      </c>
      <c r="C15" t="n">
        <v>10</v>
      </c>
      <c r="D15" t="inlineStr"/>
      <c r="E15" s="203" t="inlineStr">
        <is>
          <t>🔗약관검색</t>
        </is>
      </c>
    </row>
    <row r="16">
      <c r="A16" t="inlineStr">
        <is>
          <t>메리츠화재</t>
        </is>
      </c>
      <c r="B16" t="inlineStr">
        <is>
          <t>갱신형 외상성척추손상수술비</t>
        </is>
      </c>
      <c r="C16" t="n">
        <v>10</v>
      </c>
      <c r="D16" t="inlineStr"/>
      <c r="E16" s="203" t="inlineStr">
        <is>
          <t>🔗약관검색</t>
        </is>
      </c>
    </row>
    <row r="17">
      <c r="A17" t="inlineStr">
        <is>
          <t>메리츠화재</t>
        </is>
      </c>
      <c r="B17" t="inlineStr">
        <is>
          <t>갱신형 자동차사고성형수술비</t>
        </is>
      </c>
      <c r="C17" t="n">
        <v>100</v>
      </c>
      <c r="D17" t="inlineStr"/>
      <c r="E17" s="203" t="inlineStr">
        <is>
          <t>🔗약관검색</t>
        </is>
      </c>
    </row>
    <row r="18">
      <c r="A18" t="inlineStr">
        <is>
          <t>메리츠화재</t>
        </is>
      </c>
      <c r="B18" t="inlineStr">
        <is>
          <t>갱신형 보복운전피해</t>
        </is>
      </c>
      <c r="C18" t="n">
        <v>100</v>
      </c>
      <c r="D18" t="inlineStr"/>
      <c r="E18" s="203" t="inlineStr">
        <is>
          <t>🔗약관검색</t>
        </is>
      </c>
    </row>
    <row r="19">
      <c r="A19" t="inlineStr">
        <is>
          <t>메리츠화재</t>
        </is>
      </c>
      <c r="B19" t="inlineStr">
        <is>
          <t>갱신형 자동차사고치아보철치료비</t>
        </is>
      </c>
      <c r="C19" t="n">
        <v>20</v>
      </c>
      <c r="D19" t="inlineStr"/>
      <c r="E19" s="203" t="inlineStr">
        <is>
          <t>🔗약관검색</t>
        </is>
      </c>
    </row>
    <row r="20">
      <c r="A20" t="inlineStr">
        <is>
          <t>메리츠화재</t>
        </is>
      </c>
      <c r="B20" t="inlineStr">
        <is>
          <t>갱신형 운전자용 자동차사고부상치료비(1~3급)</t>
        </is>
      </c>
      <c r="C20" t="n">
        <v>1000</v>
      </c>
      <c r="D20" t="inlineStr"/>
      <c r="E20" s="203" t="inlineStr">
        <is>
          <t>🔗약관검색</t>
        </is>
      </c>
    </row>
    <row r="21">
      <c r="A21" t="inlineStr">
        <is>
          <t>메리츠화재</t>
        </is>
      </c>
      <c r="B21" t="inlineStr">
        <is>
          <t>갱신형 운전자용 자동차사고부상치료비(1~5급)[기본계약]</t>
        </is>
      </c>
      <c r="C21" t="n">
        <v>300</v>
      </c>
      <c r="D21" t="inlineStr"/>
      <c r="E21" s="203" t="inlineStr">
        <is>
          <t>🔗약관검색</t>
        </is>
      </c>
    </row>
    <row r="22">
      <c r="A22" t="inlineStr">
        <is>
          <t>메리츠화재</t>
        </is>
      </c>
      <c r="B22" t="inlineStr">
        <is>
          <t>과실치사상 벌금</t>
        </is>
      </c>
      <c r="C22" t="n">
        <v>700</v>
      </c>
      <c r="D22" t="inlineStr"/>
      <c r="E22" s="203" t="inlineStr">
        <is>
          <t>🔗약관검색</t>
        </is>
      </c>
    </row>
    <row r="23">
      <c r="A23" t="inlineStr">
        <is>
          <t>메리츠화재</t>
        </is>
      </c>
      <c r="B23" t="inlineStr">
        <is>
          <t>업무상 과실,중과실치사상 벌금</t>
        </is>
      </c>
      <c r="C23" t="n">
        <v>2000</v>
      </c>
      <c r="D23" t="inlineStr"/>
      <c r="E23" s="203" t="inlineStr">
        <is>
          <t>🔗약관검색</t>
        </is>
      </c>
    </row>
    <row r="24">
      <c r="A24" t="inlineStr">
        <is>
          <t>현대해상</t>
        </is>
      </c>
      <c r="B24" t="inlineStr">
        <is>
          <t>특정외상성뇌손상진단(간편가입Ⅲ)담보</t>
        </is>
      </c>
      <c r="C24" t="n">
        <v>100</v>
      </c>
      <c r="D24" t="inlineStr"/>
      <c r="E24" s="203" t="inlineStr">
        <is>
          <t>🔗약관검색</t>
        </is>
      </c>
    </row>
    <row r="25">
      <c r="A25" t="inlineStr">
        <is>
          <t>현대해상</t>
        </is>
      </c>
      <c r="B25" t="inlineStr">
        <is>
          <t>특정외상성장기손상진단(간편가입Ⅲ)담보</t>
        </is>
      </c>
      <c r="C25" t="n">
        <v>100</v>
      </c>
      <c r="D25" t="inlineStr"/>
      <c r="E25" s="203" t="inlineStr">
        <is>
          <t>🔗약관검색</t>
        </is>
      </c>
    </row>
    <row r="26">
      <c r="A26" t="inlineStr">
        <is>
          <t>현대해상</t>
        </is>
      </c>
      <c r="B26" t="inlineStr">
        <is>
          <t>간질환수술(간편가입Ⅲ)담보</t>
        </is>
      </c>
      <c r="C26" t="n">
        <v>500</v>
      </c>
      <c r="D26" t="inlineStr"/>
      <c r="E26" s="203" t="inlineStr">
        <is>
          <t>🔗약관검색</t>
        </is>
      </c>
    </row>
    <row r="27">
      <c r="A27" t="inlineStr">
        <is>
          <t>현대해상</t>
        </is>
      </c>
      <c r="B27" t="inlineStr">
        <is>
          <t>심뇌혈관질환입원일당(1-180일)(간편가입Ⅲ)담보</t>
        </is>
      </c>
      <c r="C27" t="n">
        <v>1</v>
      </c>
      <c r="D27" t="inlineStr"/>
      <c r="E27" s="203" t="inlineStr">
        <is>
          <t>🔗약관검색</t>
        </is>
      </c>
    </row>
    <row r="28">
      <c r="A28" t="inlineStr">
        <is>
          <t>현대해상</t>
        </is>
      </c>
      <c r="B28" t="inlineStr">
        <is>
          <t>심뇌혈관질환입원일당(1-180일)(간편가입Ⅲ)담보 1 골절(치아파절제외)부목치료(간편가입Ⅲ)담보</t>
        </is>
      </c>
      <c r="C28" t="n">
        <v>10</v>
      </c>
      <c r="D28" t="inlineStr"/>
      <c r="E28" s="203" t="inlineStr">
        <is>
          <t>🔗약관검색</t>
        </is>
      </c>
    </row>
    <row r="29">
      <c r="A29" t="inlineStr">
        <is>
          <t>현대해상</t>
        </is>
      </c>
      <c r="B29" t="inlineStr">
        <is>
          <t>특정감염병Ⅱ입원일당(1-30일)(간편가입Ⅲ)담보</t>
        </is>
      </c>
      <c r="C29" t="n">
        <v>10</v>
      </c>
      <c r="D29" t="inlineStr"/>
      <c r="E29" s="203" t="inlineStr">
        <is>
          <t>🔗약관검색</t>
        </is>
      </c>
    </row>
    <row r="30">
      <c r="A30" t="inlineStr">
        <is>
          <t>현대해상</t>
        </is>
      </c>
      <c r="B30" t="inlineStr">
        <is>
          <t>보험료납입면제대상(간편가입Ⅲ)담보</t>
        </is>
      </c>
      <c r="C30" t="n">
        <v>10</v>
      </c>
      <c r="D30" t="inlineStr"/>
      <c r="E30" s="203" t="inlineStr">
        <is>
          <t>🔗약관검색</t>
        </is>
      </c>
    </row>
    <row r="31">
      <c r="A31" t="inlineStr">
        <is>
          <t>현대해상</t>
        </is>
      </c>
      <c r="B31" t="inlineStr">
        <is>
          <t>응급실내원진료비(비응급)담보</t>
        </is>
      </c>
      <c r="C31" t="n">
        <v>1</v>
      </c>
      <c r="D31" t="inlineStr"/>
      <c r="E31" s="203" t="inlineStr">
        <is>
          <t>🔗약관검색</t>
        </is>
      </c>
    </row>
    <row r="32">
      <c r="A32" t="inlineStr">
        <is>
          <t>DB손보</t>
        </is>
      </c>
      <c r="B32" t="inlineStr">
        <is>
          <t>(맞춤_간편고지Ⅱ)상해흉터복원수술비</t>
        </is>
      </c>
      <c r="C32" t="n">
        <v>15</v>
      </c>
      <c r="D32" t="inlineStr"/>
      <c r="E32" s="203" t="inlineStr">
        <is>
          <t>🔗약관검색</t>
        </is>
      </c>
    </row>
    <row r="33">
      <c r="A33" t="inlineStr">
        <is>
          <t>DB손보</t>
        </is>
      </c>
      <c r="B33" t="inlineStr">
        <is>
          <t>(맞춤_간편고지Ⅱ)여성요실금수술비(급여)(연간1회한)</t>
        </is>
      </c>
      <c r="C33" t="n">
        <v>10</v>
      </c>
      <c r="D33" t="inlineStr"/>
      <c r="E33" s="203" t="inlineStr">
        <is>
          <t>🔗약관검색</t>
        </is>
      </c>
    </row>
    <row r="34">
      <c r="A34" t="inlineStr">
        <is>
          <t>DB손보</t>
        </is>
      </c>
      <c r="B34" t="inlineStr">
        <is>
          <t>(맞춤_간편고지Ⅱ)추간판탈출증수술비</t>
        </is>
      </c>
      <c r="C34" t="n">
        <v>30</v>
      </c>
      <c r="D34" t="inlineStr"/>
      <c r="E34" s="203" t="inlineStr">
        <is>
          <t>🔗약관검색</t>
        </is>
      </c>
    </row>
    <row r="35">
      <c r="A35" t="inlineStr">
        <is>
          <t>DB손보</t>
        </is>
      </c>
      <c r="B35" t="inlineStr">
        <is>
          <t>(맞춤_간편고지Ⅱ)충수염수술비(맹장염)(최초1회한)</t>
        </is>
      </c>
      <c r="C35" t="n">
        <v>10</v>
      </c>
      <c r="D35" t="inlineStr"/>
      <c r="E35" s="203" t="inlineStr">
        <is>
          <t>🔗약관검색</t>
        </is>
      </c>
    </row>
    <row r="36">
      <c r="A36" t="inlineStr">
        <is>
          <t>DB손보</t>
        </is>
      </c>
      <c r="B36" t="inlineStr">
        <is>
          <t>(맞춤_간편고지Ⅱ)뇌동맥류진단비(비파열성)</t>
        </is>
      </c>
      <c r="C36" t="n">
        <v>500</v>
      </c>
      <c r="D36" t="inlineStr"/>
      <c r="E36" s="203" t="inlineStr">
        <is>
          <t>🔗약관검색</t>
        </is>
      </c>
    </row>
    <row r="37">
      <c r="A37" t="inlineStr">
        <is>
          <t>DB손보</t>
        </is>
      </c>
      <c r="B37" t="inlineStr">
        <is>
          <t>(맞춤_간편고지Ⅱ)보험료납입면제대상보장(5대사유)</t>
        </is>
      </c>
      <c r="C37" t="n">
        <v>10</v>
      </c>
      <c r="D37" t="inlineStr"/>
      <c r="E37" s="203" t="inlineStr">
        <is>
          <t>🔗약관검색</t>
        </is>
      </c>
    </row>
    <row r="38">
      <c r="A38" t="inlineStr">
        <is>
          <t>DB손보</t>
        </is>
      </c>
      <c r="B38" t="inlineStr">
        <is>
          <t>(맞춤_간편고지Ⅱ)간호간병통합서비스사용질병입원일당(1일이상180일한도)(맞춤_간편고지Ⅱ)뇌혈관질환,허혈심장질환중환자실입원일당(1일이상180일한도)</t>
        </is>
      </c>
      <c r="C38" t="n">
        <v>0</v>
      </c>
      <c r="D38" t="inlineStr"/>
      <c r="E38" s="203" t="inlineStr">
        <is>
          <t>🔗약관검색</t>
        </is>
      </c>
    </row>
    <row r="42">
      <c r="A42" t="inlineStr">
        <is>
          <t>[근거] 실손 세대 판정 (가입일 vs 상품코드 — 상품코드 우선)</t>
        </is>
      </c>
    </row>
    <row r="43">
      <c r="A43" t="inlineStr">
        <is>
          <t>회사</t>
        </is>
      </c>
      <c r="B43" t="inlineStr">
        <is>
          <t>가입일</t>
        </is>
      </c>
      <c r="C43" t="inlineStr">
        <is>
          <t>상품코드(YYMM)</t>
        </is>
      </c>
      <c r="D43" t="inlineStr">
        <is>
          <t>판정</t>
        </is>
      </c>
    </row>
    <row r="44">
      <c r="A44" t="inlineStr">
        <is>
          <t>삼성생명</t>
        </is>
      </c>
      <c r="B44" t="inlineStr">
        <is>
          <t>2022.09.17</t>
        </is>
      </c>
      <c r="C44" t="inlineStr">
        <is>
          <t>없음</t>
        </is>
      </c>
      <c r="D44" t="inlineStr">
        <is>
          <t>4세대</t>
        </is>
      </c>
    </row>
    <row r="45">
      <c r="A45" t="inlineStr">
        <is>
          <t>현대해상</t>
        </is>
      </c>
      <c r="B45" t="inlineStr">
        <is>
          <t>2021.06.08</t>
        </is>
      </c>
      <c r="C45" t="inlineStr">
        <is>
          <t>2104</t>
        </is>
      </c>
      <c r="D45" t="inlineStr">
        <is>
          <t>3세대</t>
        </is>
      </c>
    </row>
    <row r="47">
      <c r="A47" t="inlineStr">
        <is>
          <t>[근거] 심장 블록 기재 내역 (원 담보명 → 기재 행) — 별첨 원문 그대로</t>
        </is>
      </c>
    </row>
    <row r="48">
      <c r="A48" t="inlineStr">
        <is>
          <t>회사</t>
        </is>
      </c>
      <c r="B48" t="inlineStr">
        <is>
          <t>별첨 원 담보명</t>
        </is>
      </c>
      <c r="C48" t="inlineStr">
        <is>
          <t>기재 행</t>
        </is>
      </c>
      <c r="D48" t="inlineStr">
        <is>
          <t>금액(만원)</t>
        </is>
      </c>
    </row>
    <row r="49">
      <c r="A49" t="inlineStr">
        <is>
          <t>현대해상</t>
        </is>
      </c>
      <c r="B49" t="inlineStr">
        <is>
          <t>급성심근경색증진단(간편가입Ⅲ)담보</t>
        </is>
      </c>
      <c r="C49" t="inlineStr">
        <is>
          <t>급성심근경색</t>
        </is>
      </c>
      <c r="D49" t="n">
        <v>500</v>
      </c>
    </row>
    <row r="50">
      <c r="A50" t="inlineStr">
        <is>
          <t>현대해상</t>
        </is>
      </c>
      <c r="B50" t="inlineStr">
        <is>
          <t>허혈심장질환진단(간편가입Ⅲ)담보</t>
        </is>
      </c>
      <c r="C50" t="inlineStr">
        <is>
          <t>허혈성 진단비</t>
        </is>
      </c>
      <c r="D50" t="n">
        <v>1000</v>
      </c>
    </row>
    <row r="51">
      <c r="A51" t="inlineStr">
        <is>
          <t>현대해상</t>
        </is>
      </c>
      <c r="B51" t="inlineStr">
        <is>
          <t>혈전용해치료비(급성심근경색증,I21)(간편가입Ⅲ)담보</t>
        </is>
      </c>
      <c r="C51" t="inlineStr">
        <is>
          <t>급성심근경색</t>
        </is>
      </c>
      <c r="D51" t="n">
        <v>200</v>
      </c>
    </row>
    <row r="52">
      <c r="A52" t="inlineStr">
        <is>
          <t>현대해상</t>
        </is>
      </c>
      <c r="B52" t="inlineStr">
        <is>
          <t>혈전용해치료비(뇌경색증,I63)(간편가입Ⅲ)담보</t>
        </is>
      </c>
      <c r="C52" t="inlineStr">
        <is>
          <t>혈전용해치료비</t>
        </is>
      </c>
      <c r="D52" t="n">
        <v>200</v>
      </c>
    </row>
    <row r="53">
      <c r="A53" t="inlineStr">
        <is>
          <t>DB손보</t>
        </is>
      </c>
      <c r="B53" t="inlineStr">
        <is>
          <t>(맞춤_간편고지Ⅱ)4대순환계질환진단비(특정3대심장질환)</t>
        </is>
      </c>
      <c r="C53" t="inlineStr">
        <is>
          <t>협심증 · 심부전 · 빈맥 · 염증 · 허혈성 진단비 · 부정맥 · 뇌혈관진단비</t>
        </is>
      </c>
      <c r="D53" t="n">
        <v>500</v>
      </c>
    </row>
    <row r="54">
      <c r="A54" t="inlineStr">
        <is>
          <t>DB손보</t>
        </is>
      </c>
      <c r="B54" t="inlineStr">
        <is>
          <t>(맞춤_간편고지Ⅱ)4대순환계질환진단비(특정하지정맥류질환)</t>
        </is>
      </c>
      <c r="C54" t="inlineStr">
        <is>
          <t>협심증 · 심부전 · 빈맥 · 염증 · 허혈성 진단비 · 부정맥 · 뇌혈관진단비</t>
        </is>
      </c>
      <c r="D54" t="n">
        <v>500</v>
      </c>
    </row>
    <row r="55">
      <c r="A55" t="inlineStr">
        <is>
          <t>DB손보</t>
        </is>
      </c>
      <c r="B55" t="inlineStr">
        <is>
          <t>(맞춤_간편고지Ⅱ)혈전용해치료비Ⅳ(최초1회한)</t>
        </is>
      </c>
      <c r="C55" t="inlineStr">
        <is>
          <t>혈전용해치료비</t>
        </is>
      </c>
      <c r="D55" t="n">
        <v>1000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2026-07-03T04:14:41Z</dcterms:modified>
  <cp:lastModifiedBy>Windows</cp:lastModifiedBy>
  <cp:revision>0</cp:revision>
  <cp:lastPrinted>2026-05-12T16:05:05Z</cp:lastPrinted>
</cp:coreProperties>
</file>