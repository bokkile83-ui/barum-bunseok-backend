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500" firstSheet="0" activeTab="0" autoFilterDateGrouping="1"/>
  </bookViews>
  <sheets>
    <sheet xmlns:r="http://schemas.openxmlformats.org/officeDocument/2006/relationships" name="보장분석" sheetId="1" state="visible" r:id="rId1"/>
    <sheet xmlns:r="http://schemas.openxmlformats.org/officeDocument/2006/relationships" name="법칙" sheetId="2" state="visible" r:id="rId2"/>
    <sheet xmlns:r="http://schemas.openxmlformats.org/officeDocument/2006/relationships" name="📋확인사항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17">
    <font>
      <name val="맑은 고딕"/>
      <charset val="129"/>
      <family val="3"/>
      <color rgb="FF000000"/>
      <sz val="11"/>
    </font>
    <font>
      <name val="Noto Sans CJK SC"/>
      <charset val="1"/>
      <family val="2"/>
      <b val="1"/>
      <sz val="16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000000"/>
      <sz val="9"/>
    </font>
    <font>
      <name val="맑은 고딕"/>
      <charset val="129"/>
      <family val="3"/>
      <b val="1"/>
      <color rgb="FF000000"/>
      <sz val="9"/>
    </font>
    <font>
      <name val="Noto Sans CJK SC"/>
      <charset val="1"/>
      <family val="2"/>
      <b val="1"/>
      <color rgb="FF000000"/>
      <sz val="8"/>
    </font>
    <font>
      <name val="맑은 고딕"/>
      <charset val="129"/>
      <family val="3"/>
      <b val="1"/>
      <color rgb="FF000000"/>
      <sz val="8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00FF"/>
      <sz val="9"/>
    </font>
    <font>
      <name val="Noto Sans CJK SC"/>
      <family val="2"/>
      <b val="1"/>
      <sz val="13"/>
    </font>
    <font>
      <name val="Noto Sans CJK SC"/>
      <family val="2"/>
      <color rgb="FF000000"/>
      <sz val="11"/>
    </font>
    <font>
      <name val="맑은 고딕"/>
      <charset val="129"/>
      <family val="3"/>
      <sz val="8"/>
    </font>
    <font>
      <name val="맑은 고딕"/>
      <b val="1"/>
      <color rgb="00FFFFFF"/>
      <sz val="9"/>
    </font>
    <font>
      <name val="맑은 고딕"/>
      <color rgb="00000000"/>
      <sz val="9"/>
    </font>
    <font>
      <name val="맑은 고딕"/>
      <color rgb="000070C0"/>
      <sz val="9"/>
    </font>
    <font>
      <color rgb="000000FF"/>
      <u val="single"/>
    </font>
  </fonts>
  <fills count="12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00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2E75B6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 applyAlignment="1">
      <alignment vertical="center"/>
    </xf>
  </cellStyleXfs>
  <cellXfs count="194">
    <xf numFmtId="0" fontId="0" fillId="0" borderId="0" applyAlignment="1" pivotButton="0" quotePrefix="0" xfId="0">
      <alignment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0" fontId="4" fillId="8" borderId="11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0" fontId="4" fillId="8" borderId="31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0" fontId="4" fillId="8" borderId="33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0" fontId="4" fillId="2" borderId="3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7" borderId="38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5" fillId="2" borderId="39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4" fillId="7" borderId="43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5" fillId="2" borderId="44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48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38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6" pivotButton="0" quotePrefix="0" xfId="0"/>
    <xf numFmtId="0" fontId="4" fillId="7" borderId="43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0" fillId="0" borderId="24" pivotButton="0" quotePrefix="0" xfId="0"/>
    <xf numFmtId="0" fontId="4" fillId="2" borderId="4" applyAlignment="1" pivotButton="0" quotePrefix="0" xfId="0">
      <alignment horizontal="center" vertical="center"/>
    </xf>
    <xf numFmtId="0" fontId="0" fillId="0" borderId="15" pivotButton="0" quotePrefix="0" xfId="0"/>
    <xf numFmtId="0" fontId="6" fillId="2" borderId="11" applyAlignment="1" pivotButton="0" quotePrefix="0" xfId="0">
      <alignment horizontal="center" vertical="center"/>
    </xf>
    <xf numFmtId="0" fontId="0" fillId="0" borderId="22" pivotButton="0" quotePrefix="0" xfId="0"/>
    <xf numFmtId="0" fontId="4" fillId="7" borderId="38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/>
    </xf>
    <xf numFmtId="164" fontId="5" fillId="2" borderId="5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4" fontId="7" fillId="2" borderId="8" applyAlignment="1" pivotButton="0" quotePrefix="0" xfId="0">
      <alignment horizontal="center" vertical="center"/>
    </xf>
    <xf numFmtId="164" fontId="5" fillId="6" borderId="9" applyAlignment="1" pivotButton="0" quotePrefix="0" xfId="0">
      <alignment horizontal="center" vertical="center"/>
    </xf>
    <xf numFmtId="164" fontId="7" fillId="2" borderId="10" applyAlignment="1" pivotButton="0" quotePrefix="0" xfId="0">
      <alignment horizontal="center" vertical="center"/>
    </xf>
    <xf numFmtId="164" fontId="8" fillId="2" borderId="12" applyAlignment="1" pivotButton="0" quotePrefix="0" xfId="0">
      <alignment horizontal="center" vertical="center"/>
    </xf>
    <xf numFmtId="164" fontId="5" fillId="6" borderId="13" applyAlignment="1" pivotButton="0" quotePrefix="0" xfId="0">
      <alignment horizontal="center" vertical="center"/>
    </xf>
    <xf numFmtId="164" fontId="5" fillId="8" borderId="15" applyAlignment="1" pivotButton="0" quotePrefix="0" xfId="0">
      <alignment horizontal="center" vertical="center"/>
    </xf>
    <xf numFmtId="164" fontId="5" fillId="8" borderId="16" applyAlignment="1" pivotButton="0" quotePrefix="0" xfId="0">
      <alignment horizontal="center" vertical="center"/>
    </xf>
    <xf numFmtId="164" fontId="5" fillId="8" borderId="18" applyAlignment="1" pivotButton="0" quotePrefix="0" xfId="0">
      <alignment horizontal="center" vertical="center"/>
    </xf>
    <xf numFmtId="164" fontId="5" fillId="8" borderId="19" applyAlignment="1" pivotButton="0" quotePrefix="0" xfId="0">
      <alignment horizontal="center" vertical="center"/>
    </xf>
    <xf numFmtId="164" fontId="5" fillId="2" borderId="18" applyAlignment="1" pivotButton="0" quotePrefix="0" xfId="0">
      <alignment horizontal="center" vertical="center"/>
    </xf>
    <xf numFmtId="164" fontId="5" fillId="6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6" borderId="21" applyAlignment="1" pivotButton="0" quotePrefix="0" xfId="0">
      <alignment horizontal="center" vertical="center"/>
    </xf>
    <xf numFmtId="164" fontId="5" fillId="2" borderId="22" applyAlignment="1" pivotButton="0" quotePrefix="0" xfId="0">
      <alignment horizontal="center" vertical="center"/>
    </xf>
    <xf numFmtId="164" fontId="5" fillId="6" borderId="23" applyAlignment="1" pivotButton="0" quotePrefix="0" xfId="0">
      <alignment horizontal="center" vertical="center"/>
    </xf>
    <xf numFmtId="164" fontId="5" fillId="2" borderId="15" applyAlignment="1" pivotButton="0" quotePrefix="0" xfId="0">
      <alignment horizontal="center" vertical="center"/>
    </xf>
    <xf numFmtId="164" fontId="5" fillId="6" borderId="16" applyAlignment="1" pivotButton="0" quotePrefix="0" xfId="0">
      <alignment horizontal="center" vertical="center"/>
    </xf>
    <xf numFmtId="164" fontId="5" fillId="2" borderId="24" applyAlignment="1" pivotButton="0" quotePrefix="0" xfId="0">
      <alignment horizontal="center" vertical="center"/>
    </xf>
    <xf numFmtId="164" fontId="5" fillId="6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164" fontId="5" fillId="6" borderId="27" applyAlignment="1" pivotButton="0" quotePrefix="0" xfId="0">
      <alignment horizontal="center" vertical="center"/>
    </xf>
    <xf numFmtId="164" fontId="5" fillId="8" borderId="5" applyAlignment="1" pivotButton="0" quotePrefix="0" xfId="0">
      <alignment horizontal="center" vertical="center"/>
    </xf>
    <xf numFmtId="164" fontId="5" fillId="8" borderId="12" applyAlignment="1" pivotButton="0" quotePrefix="0" xfId="0">
      <alignment horizontal="center" vertical="center"/>
    </xf>
    <xf numFmtId="164" fontId="5" fillId="2" borderId="8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5" fillId="2" borderId="10" applyAlignment="1" pivotButton="0" quotePrefix="0" xfId="0">
      <alignment horizontal="center" vertical="center"/>
    </xf>
    <xf numFmtId="164" fontId="5" fillId="8" borderId="32" applyAlignment="1" pivotButton="0" quotePrefix="0" xfId="0">
      <alignment horizontal="center" vertical="center"/>
    </xf>
    <xf numFmtId="164" fontId="5" fillId="8" borderId="27" applyAlignment="1" pivotButton="0" quotePrefix="0" xfId="0">
      <alignment horizontal="center" vertical="center"/>
    </xf>
    <xf numFmtId="164" fontId="5" fillId="8" borderId="23" applyAlignment="1" pivotButton="0" quotePrefix="0" xfId="0">
      <alignment horizontal="center" vertical="center"/>
    </xf>
    <xf numFmtId="164" fontId="5" fillId="2" borderId="35" applyAlignment="1" pivotButton="0" quotePrefix="0" xfId="0">
      <alignment horizontal="center" vertical="center"/>
    </xf>
    <xf numFmtId="164" fontId="5" fillId="2" borderId="37" applyAlignment="1" pivotButton="0" quotePrefix="0" xfId="0">
      <alignment horizontal="center" vertical="center"/>
    </xf>
    <xf numFmtId="164" fontId="5" fillId="2" borderId="28" applyAlignment="1" pivotButton="0" quotePrefix="0" xfId="0">
      <alignment horizontal="center" vertical="center"/>
    </xf>
    <xf numFmtId="164" fontId="9" fillId="7" borderId="28" applyAlignment="1" pivotButton="0" quotePrefix="0" xfId="0">
      <alignment horizontal="center" vertical="center"/>
    </xf>
    <xf numFmtId="164" fontId="9" fillId="2" borderId="28" applyAlignment="1" pivotButton="0" quotePrefix="0" xfId="0">
      <alignment horizontal="center" vertical="center"/>
    </xf>
    <xf numFmtId="164" fontId="9" fillId="7" borderId="24" applyAlignment="1" pivotButton="0" quotePrefix="0" xfId="0">
      <alignment horizontal="center" vertical="center"/>
    </xf>
    <xf numFmtId="164" fontId="5" fillId="2" borderId="40" applyAlignment="1" pivotButton="0" quotePrefix="0" xfId="0">
      <alignment horizontal="center" vertical="center"/>
    </xf>
    <xf numFmtId="164" fontId="5" fillId="6" borderId="41" applyAlignment="1" pivotButton="0" quotePrefix="0" xfId="0">
      <alignment horizontal="center" vertical="center"/>
    </xf>
    <xf numFmtId="164" fontId="5" fillId="2" borderId="12" applyAlignment="1" pivotButton="0" quotePrefix="0" xfId="0">
      <alignment horizontal="center" vertical="center"/>
    </xf>
    <xf numFmtId="164" fontId="9" fillId="2" borderId="15" applyAlignment="1" pivotButton="0" quotePrefix="0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5" fillId="6" borderId="45" applyAlignment="1" pivotButton="0" quotePrefix="0" xfId="0">
      <alignment horizontal="center" vertical="center"/>
    </xf>
    <xf numFmtId="0" fontId="4" fillId="7" borderId="51" applyAlignment="1" pivotButton="0" quotePrefix="0" xfId="0">
      <alignment horizontal="center" vertical="center"/>
    </xf>
    <xf numFmtId="0" fontId="0" fillId="0" borderId="51" pivotButton="0" quotePrefix="0" xfId="0"/>
    <xf numFmtId="0" fontId="4" fillId="7" borderId="52" applyAlignment="1" pivotButton="0" quotePrefix="0" xfId="0">
      <alignment horizontal="center" vertical="center"/>
    </xf>
    <xf numFmtId="0" fontId="0" fillId="0" borderId="52" pivotButton="0" quotePrefix="0" xfId="0"/>
    <xf numFmtId="0" fontId="1" fillId="2" borderId="53" applyAlignment="1" pivotButton="0" quotePrefix="0" xfId="0">
      <alignment horizontal="center" vertical="center"/>
    </xf>
    <xf numFmtId="0" fontId="0" fillId="0" borderId="54" pivotButton="0" quotePrefix="0" xfId="0"/>
    <xf numFmtId="164" fontId="13" fillId="9" borderId="54" applyAlignment="1" pivotButton="0" quotePrefix="0" xfId="0">
      <alignment horizontal="center" vertical="center" wrapText="1"/>
    </xf>
    <xf numFmtId="164" fontId="13" fillId="10" borderId="54" applyAlignment="1" pivotButton="0" quotePrefix="0" xfId="0">
      <alignment horizontal="center" vertical="center" wrapText="1"/>
    </xf>
    <xf numFmtId="164" fontId="13" fillId="11" borderId="55" applyAlignment="1" pivotButton="0" quotePrefix="0" xfId="0">
      <alignment horizontal="center" vertical="center" wrapText="1"/>
    </xf>
    <xf numFmtId="0" fontId="4" fillId="2" borderId="56" applyAlignment="1" pivotButton="0" quotePrefix="0" xfId="0">
      <alignment horizontal="center" vertical="center"/>
    </xf>
    <xf numFmtId="0" fontId="0" fillId="0" borderId="57" pivotButton="0" quotePrefix="0" xfId="0"/>
    <xf numFmtId="3" fontId="14" fillId="0" borderId="57" applyAlignment="1" pivotButton="0" quotePrefix="0" xfId="0">
      <alignment horizontal="center" vertical="center"/>
    </xf>
    <xf numFmtId="3" fontId="15" fillId="0" borderId="57" applyAlignment="1" pivotButton="0" quotePrefix="0" xfId="0">
      <alignment horizontal="center" vertical="center"/>
    </xf>
    <xf numFmtId="3" fontId="14" fillId="0" borderId="58" applyAlignment="1" pivotButton="0" quotePrefix="0" xfId="0">
      <alignment horizontal="center" vertical="center"/>
    </xf>
    <xf numFmtId="0" fontId="6" fillId="2" borderId="56" applyAlignment="1" pivotButton="0" quotePrefix="0" xfId="0">
      <alignment horizontal="center" vertical="center"/>
    </xf>
    <xf numFmtId="164" fontId="14" fillId="0" borderId="57" applyAlignment="1" pivotButton="0" quotePrefix="0" xfId="0">
      <alignment horizontal="center" vertical="center"/>
    </xf>
    <xf numFmtId="164" fontId="15" fillId="0" borderId="57" applyAlignment="1" pivotButton="0" quotePrefix="0" xfId="0">
      <alignment horizontal="center" vertical="center"/>
    </xf>
    <xf numFmtId="164" fontId="7" fillId="0" borderId="58" applyAlignment="1" pivotButton="0" quotePrefix="0" xfId="0">
      <alignment horizontal="center" vertical="center"/>
    </xf>
    <xf numFmtId="164" fontId="8" fillId="0" borderId="58" applyAlignment="1" pivotButton="0" quotePrefix="0" xfId="0">
      <alignment horizontal="center" vertical="center"/>
    </xf>
    <xf numFmtId="0" fontId="4" fillId="7" borderId="59" applyAlignment="1" pivotButton="0" quotePrefix="0" xfId="0">
      <alignment horizontal="center" vertical="center"/>
    </xf>
    <xf numFmtId="0" fontId="4" fillId="8" borderId="60" applyAlignment="1" pivotButton="0" quotePrefix="0" xfId="0">
      <alignment horizontal="center" vertical="center"/>
    </xf>
    <xf numFmtId="3" fontId="14" fillId="0" borderId="60" applyAlignment="1" pivotButton="0" quotePrefix="0" xfId="0">
      <alignment horizontal="center" vertical="center"/>
    </xf>
    <xf numFmtId="164" fontId="5" fillId="0" borderId="60" applyAlignment="1" pivotButton="0" quotePrefix="0" xfId="0">
      <alignment horizontal="center" vertical="center"/>
    </xf>
    <xf numFmtId="3" fontId="14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4" fillId="8" borderId="63" applyAlignment="1" pivotButton="0" quotePrefix="0" xfId="0">
      <alignment horizontal="center" vertical="center"/>
    </xf>
    <xf numFmtId="3" fontId="14" fillId="0" borderId="63" applyAlignment="1" pivotButton="0" quotePrefix="0" xfId="0">
      <alignment horizontal="center" vertical="center"/>
    </xf>
    <xf numFmtId="164" fontId="5" fillId="0" borderId="63" applyAlignment="1" pivotButton="0" quotePrefix="0" xfId="0">
      <alignment horizontal="center" vertical="center"/>
    </xf>
    <xf numFmtId="3" fontId="14" fillId="0" borderId="64" applyAlignment="1" pivotButton="0" quotePrefix="0" xfId="0">
      <alignment horizontal="center" vertical="center"/>
    </xf>
    <xf numFmtId="0" fontId="4" fillId="2" borderId="63" applyAlignment="1" pivotButton="0" quotePrefix="0" xfId="0">
      <alignment horizontal="center" vertical="center"/>
    </xf>
    <xf numFmtId="0" fontId="0" fillId="0" borderId="56" pivotButton="0" quotePrefix="0" xfId="0"/>
    <xf numFmtId="0" fontId="4" fillId="2" borderId="57" applyAlignment="1" pivotButton="0" quotePrefix="0" xfId="0">
      <alignment horizontal="center" vertical="center"/>
    </xf>
    <xf numFmtId="164" fontId="5" fillId="0" borderId="57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3" fontId="15" fillId="0" borderId="63" applyAlignment="1" pivotButton="0" quotePrefix="0" xfId="0">
      <alignment horizontal="center" vertical="center"/>
    </xf>
    <xf numFmtId="164" fontId="9" fillId="0" borderId="63" applyAlignment="1" pivotButton="0" quotePrefix="0" xfId="0">
      <alignment horizontal="center" vertical="center"/>
    </xf>
    <xf numFmtId="0" fontId="0" fillId="0" borderId="63" pivotButton="0" quotePrefix="0" xfId="0"/>
    <xf numFmtId="3" fontId="14" fillId="0" borderId="64" pivotButton="0" quotePrefix="0" xfId="0"/>
    <xf numFmtId="0" fontId="5" fillId="2" borderId="63" applyAlignment="1" pivotButton="0" quotePrefix="0" xfId="0">
      <alignment horizontal="center" vertical="center"/>
    </xf>
    <xf numFmtId="0" fontId="4" fillId="8" borderId="57" applyAlignment="1" pivotButton="0" quotePrefix="0" xfId="0">
      <alignment horizontal="center" vertical="center"/>
    </xf>
    <xf numFmtId="0" fontId="0" fillId="0" borderId="59" pivotButton="0" quotePrefix="0" xfId="0"/>
    <xf numFmtId="0" fontId="4" fillId="2" borderId="60" applyAlignment="1" pivotButton="0" quotePrefix="0" xfId="0">
      <alignment horizontal="center" vertical="center"/>
    </xf>
    <xf numFmtId="0" fontId="5" fillId="2" borderId="57" applyAlignment="1" pivotButton="0" quotePrefix="0" xfId="0">
      <alignment horizontal="center" vertical="center"/>
    </xf>
    <xf numFmtId="0" fontId="4" fillId="7" borderId="56" applyAlignment="1" pivotButton="0" quotePrefix="0" xfId="0">
      <alignment horizontal="center" vertical="center"/>
    </xf>
    <xf numFmtId="164" fontId="9" fillId="0" borderId="57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query=%EA%B5%90%EB%B3%B4%EC%83%9D%EB%AA%85%20%EB%AC%B4%EB%B0%B0%EB%8B%B9%EA%B5%90%EB%B3%B4%ED%81%B0%EC%82%AC%EB%9E%91CI%EB%B3%B4%ED%97%98%20CI%EC%B6%94%EA%B0%80%EB%B3%B4%EC%9E%A5%ED%8A%B9%EC%95%BD%28%EC%9E%94%EC%97%AC%29%20%EC%95%BD%EA%B4%80%20%EB%B3%B4%EC%9E%A5%EB%82%B4%EC%9A%A9" TargetMode="External" Id="rId1"/><Relationship Type="http://schemas.openxmlformats.org/officeDocument/2006/relationships/hyperlink" Target="https://search.naver.com/search.naver?query=%EA%B5%90%EB%B3%B4%EC%83%9D%EB%AA%85%20%EB%AC%B4%EB%B0%B0%EB%8B%B9%EA%B5%90%EB%B3%B4%ED%81%B0%EC%82%AC%EB%9E%91CI%EB%B3%B4%ED%97%98%20%EC%9E%AC%ED%95%B4%EC%83%81%ED%95%B4%ED%8A%B9%EC%95%BD2%ED%98%95%20%EC%95%BD%EA%B4%80%20%EB%B3%B4%EC%9E%A5%EB%82%B4%EC%9A%A9" TargetMode="External" Id="rId2"/><Relationship Type="http://schemas.openxmlformats.org/officeDocument/2006/relationships/hyperlink" Target="https://search.naver.com/search.naver?query=%EA%B5%90%EB%B3%B4%EC%83%9D%EB%AA%85%20%EB%AC%B4%EB%B0%B0%EB%8B%B9%EA%B5%90%EB%B3%B4%ED%81%B0%EC%82%AC%EB%9E%91CI%EB%B3%B4%ED%97%98%20%EB%82%A8%EC%84%B1%EA%B1%B4%EA%B0%95%EC%B9%98%EB%A3%8C%ED%8A%B9%EC%95%BD%20%EC%95%BD%EA%B4%80%20%EB%B3%B4%EC%9E%A5%EB%82%B4%EC%9A%A9" TargetMode="External" Id="rId3"/><Relationship Type="http://schemas.openxmlformats.org/officeDocument/2006/relationships/hyperlink" Target="https://search.naver.com/search.naver?query=%EA%B5%90%EB%B3%B4%EC%83%9D%EB%AA%85%20%EB%AC%B4%EB%B0%B0%EB%8B%B9%EA%B5%90%EB%B3%B4%ED%81%B0%EC%82%AC%EB%9E%91CI%EB%B3%B4%ED%97%98%20%EC%9E%AC%ED%95%B4%EC%B9%98%EB%A3%8C%EB%B9%84%ED%8A%B9%EC%95%BD%20%EC%95%BD%EA%B4%80%20%EB%B3%B4%EC%9E%A5%EB%82%B4%EC%9A%A9" TargetMode="External" Id="rId4"/><Relationship Type="http://schemas.openxmlformats.org/officeDocument/2006/relationships/hyperlink" Target="https://search.naver.com/search.naver?query=%EB%8F%99%EC%96%91%EC%83%9D%EB%AA%85%20%EB%AC%B4%20%EC%88%98%ED%98%B8%EC%B2%9C%EC%82%AC%EB%82%B4%EA%B0%80%EB%A7%8C%EB%93%9C%EB%8A%94%EB%B3%B4%EC%9E%A5%EB%B3%B4%ED%97%98%20%ED%91%9C%20%5BQ9%5D%EB%B0%A9%EC%82%AC%EC%84%A0%ED%95%AD%EC%95%94%EC%95%BD%EB%AC%BC%EC%B9%98%20%EC%95%BD%EA%B4%80%20%EB%B3%B4%EC%9E%A5%EB%82%B4%EC%9A%A9" TargetMode="External" Id="rId5"/><Relationship Type="http://schemas.openxmlformats.org/officeDocument/2006/relationships/hyperlink" Target="https://search.naver.com/search.naver?query=DB%EC%86%90%EB%B3%B4%20%EC%B0%B8%EC%A2%8B%EC%9D%80%EC%9A%B4%EC%A0%84%EC%9E%90%2B%EB%B3%B4%ED%97%982101%20%EC%9E%90%EB%8F%99%EC%B0%A8%EC%82%AC%EA%B3%A0%EC%B9%98%EC%95%84%EB%B3%B4%EC%B2%A0%EC%A7%80%EC%9B%90%EA%B8%88%20%EC%95%BD%EA%B4%80%20%EB%B3%B4%EC%9E%A5%EB%82%B4%EC%9A%A9" TargetMode="External" Id="rId6"/><Relationship Type="http://schemas.openxmlformats.org/officeDocument/2006/relationships/hyperlink" Target="https://search.naver.com/search.naver?query=DB%EC%86%90%EB%B3%B4%20%EC%B0%B8%EC%A2%8B%EC%9D%80%EC%9A%B4%EC%A0%84%EC%9E%90%2B%EB%B3%B4%ED%97%982101%20%EC%9E%90%EB%8F%99%EC%B0%A8%EC%82%AC%EA%B3%A0%EC%84%B1%ED%98%95%EC%88%98%EC%88%A0%EB%B9%84%20%EC%95%BD%EA%B4%80%20%EB%B3%B4%EC%9E%A5%EB%82%B4%EC%9A%A9" TargetMode="External" Id="rId7"/><Relationship Type="http://schemas.openxmlformats.org/officeDocument/2006/relationships/hyperlink" Target="https://search.naver.com/search.naver?query=DB%EC%86%90%EB%B3%B4%20%EC%B0%B8%EC%A2%8B%EC%9D%80%EC%9A%B4%EC%A0%84%EC%9E%90%2B%EB%B3%B4%ED%97%982101%20%EC%9E%90%EB%8F%99%EC%B0%A8%EB%B6%80%EC%83%81%EC%B9%98%EB%A3%8C%EB%B9%84%281~5%20%EC%95%BD%EA%B4%80%20%EB%B3%B4%EC%9E%A5%EB%82%B4%EC%9A%A9" TargetMode="External" Id="rId8"/><Relationship Type="http://schemas.openxmlformats.org/officeDocument/2006/relationships/hyperlink" Target="https://search.naver.com/search.naver?query=DB%EC%86%90%EB%B3%B4%20%EC%B0%B8%EC%A2%8B%EC%9D%80%EC%9A%B4%EC%A0%84%EC%9E%90%2B%EB%B3%B4%ED%97%982101%20%EA%B0%80%EC%A1%B1%EB%8F%99%EC%8A%B9%EC%9E%90%EB%8F%99%EC%B0%A8%EB%B6%80%EC%83%81%EC%B9%98%EB%A3%8C%EB%B9%84%20%EC%95%BD%EA%B4%80%20%EB%B3%B4%EC%9E%A5%EB%82%B4%EC%9A%A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7"/>
  <sheetViews>
    <sheetView tabSelected="1" topLeftCell="A31" zoomScaleNormal="100" workbookViewId="0">
      <selection activeCell="C45" sqref="C45"/>
    </sheetView>
  </sheetViews>
  <sheetFormatPr baseColWidth="8" defaultColWidth="9" defaultRowHeight="17.4"/>
  <cols>
    <col width="6.5" customWidth="1" style="82" min="1" max="1"/>
    <col width="22" customWidth="1" style="82" min="2" max="2"/>
    <col width="12" customWidth="1" style="82" min="3" max="7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22.8984375" customWidth="1" style="82" min="10" max="10"/>
    <col width="1.5" customWidth="1" style="82" min="11" max="11"/>
    <col width="11.3984375" customWidth="1" style="82" min="12" max="18"/>
  </cols>
  <sheetData>
    <row r="1" ht="38.25" customHeight="1" s="82">
      <c r="A1" s="152" t="inlineStr">
        <is>
          <t>김진구 보장진단</t>
        </is>
      </c>
      <c r="B1" s="153" t="n"/>
      <c r="C1" s="154" t="inlineStr">
        <is>
          <t>교보생명
무배당교보큰사랑CI보험
[비갱신(종신)]
(1세대(구형) 실손)</t>
        </is>
      </c>
      <c r="D1" s="154" t="inlineStr">
        <is>
          <t>동양생명
(무)수호천사알뜰한통합종신보험
[비갱신(종신)]</t>
        </is>
      </c>
      <c r="E1" s="154" t="inlineStr">
        <is>
          <t>동양생명
(무)수호천사내가만드는보장보험(표준형-종신)
[비갱신(종신)]</t>
        </is>
      </c>
      <c r="F1" s="154" t="inlineStr">
        <is>
          <t>동양생명
(무)수호천사NEW내가만드는보장보험(표준형-종신)
[비갱신(종신)]</t>
        </is>
      </c>
      <c r="G1" s="154" t="inlineStr">
        <is>
          <t>흥국화재
무배당 행복을 多주는 가족사랑종합보험(21.01)_2종(무해지 납입후 표준환급률지급형)
[비갱신]</t>
        </is>
      </c>
      <c r="H1" s="155" t="inlineStr">
        <is>
          <t>DB손보
참좋은운전자+보험2101
[갱신]</t>
        </is>
      </c>
      <c r="I1" s="156" t="inlineStr">
        <is>
          <t>합계</t>
        </is>
      </c>
    </row>
    <row r="2" ht="16.5" customHeight="1" s="82">
      <c r="A2" s="157" t="inlineStr">
        <is>
          <t>보험료</t>
        </is>
      </c>
      <c r="B2" s="158" t="n"/>
      <c r="C2" s="159" t="n">
        <v>80070</v>
      </c>
      <c r="D2" s="159" t="n">
        <v>70800</v>
      </c>
      <c r="E2" s="159" t="n">
        <v>47064</v>
      </c>
      <c r="F2" s="159" t="n">
        <v>31625</v>
      </c>
      <c r="G2" s="159" t="n">
        <v>74531</v>
      </c>
      <c r="H2" s="160" t="n">
        <v>20380</v>
      </c>
      <c r="I2" s="161">
        <f>SUM(C2:H2)</f>
        <v>324470</v>
      </c>
    </row>
    <row r="3" ht="16.5" customHeight="1" s="82">
      <c r="A3" s="162" t="inlineStr">
        <is>
          <t>가입년일</t>
        </is>
      </c>
      <c r="B3" s="158" t="n"/>
      <c r="C3" s="163" t="inlineStr">
        <is>
          <t>2008.08.07</t>
        </is>
      </c>
      <c r="D3" s="163" t="inlineStr">
        <is>
          <t>2016.07.11</t>
        </is>
      </c>
      <c r="E3" s="163" t="inlineStr">
        <is>
          <t>2023.02.03</t>
        </is>
      </c>
      <c r="F3" s="163" t="inlineStr">
        <is>
          <t>2024.12.03</t>
        </is>
      </c>
      <c r="G3" s="163" t="inlineStr">
        <is>
          <t>2021.01.19</t>
        </is>
      </c>
      <c r="H3" s="164" t="inlineStr">
        <is>
          <t>2021.01.18</t>
        </is>
      </c>
      <c r="I3" s="165" t="n"/>
    </row>
    <row r="4" ht="16.5" customHeight="1" s="82">
      <c r="A4" s="162" t="inlineStr">
        <is>
          <t>만기일자</t>
        </is>
      </c>
      <c r="B4" s="158" t="n"/>
      <c r="C4" s="163" t="inlineStr">
        <is>
          <t>9999.12.31</t>
        </is>
      </c>
      <c r="D4" s="163" t="inlineStr">
        <is>
          <t>9999.12.31</t>
        </is>
      </c>
      <c r="E4" s="163" t="inlineStr">
        <is>
          <t>9999.12.31</t>
        </is>
      </c>
      <c r="F4" s="163" t="inlineStr">
        <is>
          <t>9999.12.31</t>
        </is>
      </c>
      <c r="G4" s="163" t="inlineStr">
        <is>
          <t>2080.01.19</t>
        </is>
      </c>
      <c r="H4" s="164" t="inlineStr">
        <is>
          <t>2041.01.18</t>
        </is>
      </c>
      <c r="I4" s="165" t="n"/>
    </row>
    <row r="5" ht="17.25" customHeight="1" s="82">
      <c r="A5" s="162" t="inlineStr">
        <is>
          <t>총납입기간</t>
        </is>
      </c>
      <c r="B5" s="158" t="n"/>
      <c r="C5" s="163" t="inlineStr">
        <is>
          <t>36년납 (215/432)</t>
        </is>
      </c>
      <c r="D5" s="163" t="inlineStr">
        <is>
          <t>20년납 (120/240)</t>
        </is>
      </c>
      <c r="E5" s="163" t="inlineStr">
        <is>
          <t>20년납 (41/240)</t>
        </is>
      </c>
      <c r="F5" s="163" t="inlineStr">
        <is>
          <t>20년납 (19/240)</t>
        </is>
      </c>
      <c r="G5" s="163" t="inlineStr">
        <is>
          <t>20년납 (66/240)</t>
        </is>
      </c>
      <c r="H5" s="164" t="inlineStr">
        <is>
          <t>20년납 (66/240)</t>
        </is>
      </c>
      <c r="I5" s="166" t="n"/>
    </row>
    <row r="6" ht="16.5" customHeight="1" s="82">
      <c r="A6" s="167" t="inlineStr">
        <is>
          <t>사망</t>
        </is>
      </c>
      <c r="B6" s="168" t="inlineStr">
        <is>
          <t>일반사망</t>
        </is>
      </c>
      <c r="C6" s="169" t="n">
        <v>4000</v>
      </c>
      <c r="D6" s="169" t="n">
        <v>4000</v>
      </c>
      <c r="E6" s="169" t="n">
        <v>100</v>
      </c>
      <c r="F6" s="169" t="n">
        <v>100</v>
      </c>
      <c r="G6" s="170" t="n"/>
      <c r="H6" s="170" t="n"/>
      <c r="I6" s="171">
        <f>SUM(C6:H6)</f>
        <v>8200</v>
      </c>
    </row>
    <row r="7" ht="17.25" customHeight="1" s="82">
      <c r="A7" s="172" t="n"/>
      <c r="B7" s="173" t="inlineStr">
        <is>
          <t>중대한CI적용</t>
        </is>
      </c>
      <c r="C7" s="174" t="n">
        <v>800</v>
      </c>
      <c r="D7" s="174" t="n">
        <v>4000</v>
      </c>
      <c r="E7" s="174" t="n">
        <v>100</v>
      </c>
      <c r="F7" s="174" t="n">
        <v>100</v>
      </c>
      <c r="G7" s="175" t="n"/>
      <c r="H7" s="175" t="n"/>
      <c r="I7" s="176">
        <f>SUM(C7:H7)</f>
        <v>5000</v>
      </c>
    </row>
    <row r="8" ht="17.25" customHeight="1" s="82">
      <c r="A8" s="172" t="n"/>
      <c r="B8" s="177" t="inlineStr">
        <is>
          <t>질병사망(80세)</t>
        </is>
      </c>
      <c r="C8" s="175" t="n"/>
      <c r="D8" s="175" t="n"/>
      <c r="E8" s="175" t="n"/>
      <c r="F8" s="175" t="n"/>
      <c r="G8" s="175" t="n"/>
      <c r="H8" s="175" t="n"/>
      <c r="I8" s="176">
        <f>SUM(C8:H8)</f>
        <v>0</v>
      </c>
    </row>
    <row r="9" ht="16.5" customHeight="1" s="82">
      <c r="A9" s="172" t="n"/>
      <c r="B9" s="177" t="inlineStr">
        <is>
          <t>교통상해사망</t>
        </is>
      </c>
      <c r="C9" s="175" t="n"/>
      <c r="D9" s="175" t="n"/>
      <c r="E9" s="175" t="n"/>
      <c r="F9" s="175" t="n"/>
      <c r="G9" s="175" t="n"/>
      <c r="H9" s="175" t="n"/>
      <c r="I9" s="176">
        <f>SUM(C9:H9)</f>
        <v>0</v>
      </c>
    </row>
    <row r="10" ht="17.25" customHeight="1" s="82">
      <c r="A10" s="178" t="n"/>
      <c r="B10" s="179" t="inlineStr">
        <is>
          <t>상해사망</t>
        </is>
      </c>
      <c r="C10" s="159" t="n">
        <v>10000</v>
      </c>
      <c r="D10" s="159" t="n">
        <v>4000</v>
      </c>
      <c r="E10" s="159" t="n">
        <v>100</v>
      </c>
      <c r="F10" s="159" t="n">
        <v>100</v>
      </c>
      <c r="G10" s="159" t="n">
        <v>15000</v>
      </c>
      <c r="H10" s="180" t="n"/>
      <c r="I10" s="161">
        <f>SUM(C10:H10)</f>
        <v>29200</v>
      </c>
    </row>
    <row r="11" ht="16.5" customHeight="1" s="82">
      <c r="A11" s="181" t="inlineStr">
        <is>
          <t>후유장애</t>
        </is>
      </c>
      <c r="B11" s="177" t="inlineStr">
        <is>
          <t>상해후유3%</t>
        </is>
      </c>
      <c r="C11" s="174" t="n">
        <v>600</v>
      </c>
      <c r="D11" s="175" t="n"/>
      <c r="E11" s="175" t="n"/>
      <c r="F11" s="175" t="n"/>
      <c r="G11" s="175" t="n"/>
      <c r="H11" s="182" t="n">
        <v>100</v>
      </c>
      <c r="I11" s="176">
        <f>SUM(C11:H11)</f>
        <v>700</v>
      </c>
    </row>
    <row r="12" ht="16.5" customHeight="1" s="82">
      <c r="A12" s="172" t="n"/>
      <c r="B12" s="177" t="inlineStr">
        <is>
          <t>상해후유80%</t>
        </is>
      </c>
      <c r="C12" s="175" t="n"/>
      <c r="D12" s="175" t="n"/>
      <c r="E12" s="175" t="n"/>
      <c r="F12" s="175" t="n"/>
      <c r="G12" s="174" t="n">
        <v>100</v>
      </c>
      <c r="H12" s="175" t="n"/>
      <c r="I12" s="176">
        <f>SUM(C12:H12)</f>
        <v>100</v>
      </c>
    </row>
    <row r="13" ht="16.5" customHeight="1" s="82">
      <c r="A13" s="172" t="n"/>
      <c r="B13" s="177" t="inlineStr">
        <is>
          <t>질병후유3%</t>
        </is>
      </c>
      <c r="C13" s="175" t="n"/>
      <c r="D13" s="175" t="n"/>
      <c r="E13" s="175" t="n"/>
      <c r="F13" s="175" t="n"/>
      <c r="G13" s="175" t="n"/>
      <c r="H13" s="175" t="n"/>
      <c r="I13" s="176">
        <f>SUM(C13:H13)</f>
        <v>0</v>
      </c>
    </row>
    <row r="14" ht="17.25" customHeight="1" s="82">
      <c r="A14" s="178" t="n"/>
      <c r="B14" s="179" t="inlineStr">
        <is>
          <t>질병후유80%</t>
        </is>
      </c>
      <c r="C14" s="180" t="n"/>
      <c r="D14" s="180" t="n"/>
      <c r="E14" s="180" t="n"/>
      <c r="F14" s="180" t="n"/>
      <c r="G14" s="159" t="n">
        <v>100</v>
      </c>
      <c r="H14" s="180" t="n"/>
      <c r="I14" s="161">
        <f>SUM(C14:H14)</f>
        <v>100</v>
      </c>
    </row>
    <row r="15" ht="17.25" customHeight="1" s="82">
      <c r="A15" s="181" t="inlineStr">
        <is>
          <t>암</t>
        </is>
      </c>
      <c r="B15" s="177" t="inlineStr">
        <is>
          <t>고액암</t>
        </is>
      </c>
      <c r="C15" s="175" t="n"/>
      <c r="D15" s="175" t="n"/>
      <c r="E15" s="174" t="n">
        <v>5000</v>
      </c>
      <c r="F15" s="175" t="n"/>
      <c r="G15" s="175" t="n"/>
      <c r="H15" s="175" t="n"/>
      <c r="I15" s="176">
        <f>SUM(C15:H15)</f>
        <v>5000</v>
      </c>
    </row>
    <row r="16" ht="16.5" customHeight="1" s="82">
      <c r="A16" s="172" t="n"/>
      <c r="B16" s="173" t="inlineStr">
        <is>
          <t>일반암</t>
        </is>
      </c>
      <c r="C16" s="175" t="n"/>
      <c r="D16" s="175" t="n"/>
      <c r="E16" s="174" t="n">
        <v>3000</v>
      </c>
      <c r="F16" s="175" t="n"/>
      <c r="G16" s="174" t="n">
        <v>5000</v>
      </c>
      <c r="H16" s="175" t="n"/>
      <c r="I16" s="176">
        <f>SUM(C16:H16)</f>
        <v>8000</v>
      </c>
    </row>
    <row r="17" ht="17.25" customHeight="1" s="82">
      <c r="A17" s="172" t="n"/>
      <c r="B17" s="173" t="inlineStr">
        <is>
          <t>중대한 암</t>
        </is>
      </c>
      <c r="C17" s="174" t="n">
        <v>3200</v>
      </c>
      <c r="D17" s="175" t="n"/>
      <c r="E17" s="175" t="n"/>
      <c r="F17" s="175" t="n"/>
      <c r="G17" s="175" t="n"/>
      <c r="H17" s="175" t="n"/>
      <c r="I17" s="176">
        <f>SUM(C17:H17)</f>
        <v>3200</v>
      </c>
    </row>
    <row r="18" ht="16.5" customHeight="1" s="82">
      <c r="A18" s="172" t="n"/>
      <c r="B18" s="177" t="inlineStr">
        <is>
          <t>유사암(갑.기.경.제)</t>
        </is>
      </c>
      <c r="C18" s="175" t="n"/>
      <c r="D18" s="175" t="n"/>
      <c r="E18" s="174" t="n">
        <v>600</v>
      </c>
      <c r="F18" s="175" t="n"/>
      <c r="G18" s="174" t="n">
        <v>1000</v>
      </c>
      <c r="H18" s="175" t="n"/>
      <c r="I18" s="176">
        <f>SUM(C18:H18)</f>
        <v>1600</v>
      </c>
    </row>
    <row r="19" ht="16.5" customHeight="1" s="82">
      <c r="A19" s="172" t="n"/>
      <c r="B19" s="177" t="inlineStr">
        <is>
          <t>암주요치료비</t>
        </is>
      </c>
      <c r="C19" s="183" t="n"/>
      <c r="D19" s="183" t="n"/>
      <c r="E19" s="183" t="n"/>
      <c r="F19" s="183" t="n"/>
      <c r="G19" s="183" t="n"/>
      <c r="H19" s="183" t="n"/>
      <c r="I19" s="176">
        <f>SUM(C19:H19)</f>
        <v>0</v>
      </c>
    </row>
    <row r="20" ht="16.5" customHeight="1" s="82">
      <c r="A20" s="172" t="n"/>
      <c r="B20" s="177" t="inlineStr">
        <is>
          <t>하이클래스(암)</t>
        </is>
      </c>
      <c r="C20" s="175" t="n"/>
      <c r="D20" s="175" t="n"/>
      <c r="E20" s="175" t="n"/>
      <c r="F20" s="175" t="n"/>
      <c r="G20" s="175" t="n"/>
      <c r="H20" s="175" t="n"/>
      <c r="I20" s="176">
        <f>SUM(C20:H20)</f>
        <v>0</v>
      </c>
    </row>
    <row r="21" ht="16.5" customHeight="1" s="82">
      <c r="A21" s="172" t="n"/>
      <c r="B21" s="177" t="inlineStr">
        <is>
          <t>중입자치료비</t>
        </is>
      </c>
      <c r="C21" s="183" t="n"/>
      <c r="D21" s="183" t="n"/>
      <c r="E21" s="183" t="n"/>
      <c r="F21" s="183" t="n"/>
      <c r="G21" s="183" t="n"/>
      <c r="H21" s="183" t="n"/>
      <c r="I21" s="176">
        <f>SUM(C21:H21)</f>
        <v>0</v>
      </c>
    </row>
    <row r="22" ht="16.5" customHeight="1" s="82">
      <c r="A22" s="172" t="n"/>
      <c r="B22" s="177" t="inlineStr">
        <is>
          <t>표적항암치료비</t>
        </is>
      </c>
      <c r="C22" s="183" t="n"/>
      <c r="D22" s="183" t="n"/>
      <c r="E22" s="182" t="n">
        <v>7000</v>
      </c>
      <c r="F22" s="183" t="n"/>
      <c r="G22" s="183" t="n"/>
      <c r="H22" s="183" t="n"/>
      <c r="I22" s="176">
        <f>SUM(C22:H22)</f>
        <v>7000</v>
      </c>
    </row>
    <row r="23" ht="16.5" customHeight="1" s="82">
      <c r="A23" s="172" t="n"/>
      <c r="B23" s="177" t="inlineStr">
        <is>
          <t>양성자치료</t>
        </is>
      </c>
      <c r="C23" s="183" t="n"/>
      <c r="D23" s="183" t="n"/>
      <c r="E23" s="183" t="n"/>
      <c r="F23" s="183" t="n"/>
      <c r="G23" s="183" t="n"/>
      <c r="H23" s="183" t="n"/>
      <c r="I23" s="176">
        <f>SUM(C23:H23)</f>
        <v>0</v>
      </c>
    </row>
    <row r="24" ht="16.5" customHeight="1" s="82">
      <c r="A24" s="172" t="n"/>
      <c r="B24" s="177" t="inlineStr">
        <is>
          <t>세기조절치료</t>
        </is>
      </c>
      <c r="C24" s="183" t="n"/>
      <c r="D24" s="183" t="n"/>
      <c r="E24" s="183" t="n"/>
      <c r="F24" s="183" t="n"/>
      <c r="G24" s="183" t="n"/>
      <c r="H24" s="183" t="n"/>
      <c r="I24" s="176">
        <f>SUM(C24:H24)</f>
        <v>0</v>
      </c>
    </row>
    <row r="25" ht="16.5" customHeight="1" s="82">
      <c r="A25" s="172" t="n"/>
      <c r="B25" s="177" t="inlineStr">
        <is>
          <t>다빈치로봇수술비</t>
        </is>
      </c>
      <c r="C25" s="183" t="n"/>
      <c r="D25" s="183" t="n"/>
      <c r="E25" s="183" t="n"/>
      <c r="F25" s="183" t="n"/>
      <c r="G25" s="183" t="n"/>
      <c r="H25" s="183" t="n"/>
      <c r="I25" s="176">
        <f>SUM(C25:H25)</f>
        <v>0</v>
      </c>
    </row>
    <row r="26" ht="16.5" customHeight="1" s="82">
      <c r="A26" s="172" t="n"/>
      <c r="B26" s="177" t="inlineStr">
        <is>
          <t>암수술</t>
        </is>
      </c>
      <c r="C26" s="175" t="n"/>
      <c r="D26" s="175" t="n"/>
      <c r="E26" s="175" t="n"/>
      <c r="F26" s="175" t="n"/>
      <c r="G26" s="175" t="n"/>
      <c r="H26" s="175" t="n"/>
      <c r="I26" s="176">
        <f>SUM(C26:H26)</f>
        <v>0</v>
      </c>
    </row>
    <row r="27" ht="16.5" customHeight="1" s="82">
      <c r="A27" s="172" t="n"/>
      <c r="B27" s="177" t="inlineStr">
        <is>
          <t>암일당</t>
        </is>
      </c>
      <c r="C27" s="174" t="n">
        <v>10</v>
      </c>
      <c r="D27" s="175" t="n"/>
      <c r="E27" s="175" t="n"/>
      <c r="F27" s="175" t="n"/>
      <c r="G27" s="175" t="n"/>
      <c r="H27" s="175" t="n"/>
      <c r="I27" s="176">
        <f>SUM(C27:H27)</f>
        <v>10</v>
      </c>
    </row>
    <row r="28" ht="17.25" customHeight="1" s="82">
      <c r="A28" s="178" t="n"/>
      <c r="B28" s="179" t="inlineStr">
        <is>
          <t>항암방사선약물</t>
        </is>
      </c>
      <c r="C28" s="180" t="n"/>
      <c r="D28" s="180" t="n"/>
      <c r="E28" s="159" t="n">
        <v>100</v>
      </c>
      <c r="F28" s="180" t="n"/>
      <c r="G28" s="180" t="n"/>
      <c r="H28" s="180" t="n"/>
      <c r="I28" s="161">
        <f>SUM(C28:H28)</f>
        <v>100</v>
      </c>
    </row>
    <row r="29" ht="17.25" customHeight="1" s="82">
      <c r="A29" s="181" t="inlineStr">
        <is>
          <t>뇌혈관</t>
        </is>
      </c>
      <c r="B29" s="177" t="inlineStr">
        <is>
          <t>뇌혈관진단비</t>
        </is>
      </c>
      <c r="C29" s="175" t="n"/>
      <c r="D29" s="175" t="n"/>
      <c r="E29" s="175" t="n"/>
      <c r="F29" s="174" t="n">
        <v>1000</v>
      </c>
      <c r="G29" s="174" t="n">
        <v>1000</v>
      </c>
      <c r="H29" s="175" t="n"/>
      <c r="I29" s="176">
        <f>SUM(C29:H29)</f>
        <v>2000</v>
      </c>
    </row>
    <row r="30" ht="16.5" customHeight="1" s="82">
      <c r="A30" s="172" t="n"/>
      <c r="B30" s="173" t="inlineStr">
        <is>
          <t>뇌졸증진단비</t>
        </is>
      </c>
      <c r="C30" s="175" t="n"/>
      <c r="D30" s="175" t="n"/>
      <c r="E30" s="175" t="n"/>
      <c r="F30" s="175" t="n"/>
      <c r="G30" s="175" t="n"/>
      <c r="H30" s="175" t="n"/>
      <c r="I30" s="176">
        <f>SUM(C30:H30)</f>
        <v>0</v>
      </c>
    </row>
    <row r="31" ht="17.25" customHeight="1" s="82">
      <c r="A31" s="172" t="n"/>
      <c r="B31" s="173" t="inlineStr">
        <is>
          <t>중대한 뇌졸증</t>
        </is>
      </c>
      <c r="C31" s="174" t="n">
        <v>3200</v>
      </c>
      <c r="D31" s="175" t="n"/>
      <c r="E31" s="175" t="n"/>
      <c r="F31" s="175" t="n"/>
      <c r="G31" s="175" t="n"/>
      <c r="H31" s="175" t="n"/>
      <c r="I31" s="176">
        <f>SUM(C31:H31)</f>
        <v>3200</v>
      </c>
    </row>
    <row r="32" ht="16.5" customHeight="1" s="82">
      <c r="A32" s="172" t="n"/>
      <c r="B32" s="177" t="inlineStr">
        <is>
          <t>뇌출혈진단비</t>
        </is>
      </c>
      <c r="C32" s="175" t="n"/>
      <c r="D32" s="175" t="n"/>
      <c r="E32" s="175" t="n"/>
      <c r="F32" s="175" t="n"/>
      <c r="G32" s="175" t="n"/>
      <c r="H32" s="175" t="n"/>
      <c r="I32" s="176">
        <f>SUM(C32:H32)</f>
        <v>0</v>
      </c>
    </row>
    <row r="33" ht="16.5" customHeight="1" s="82">
      <c r="A33" s="172" t="n"/>
      <c r="B33" s="177" t="inlineStr">
        <is>
          <t>외상성뇌출혈</t>
        </is>
      </c>
      <c r="C33" s="175" t="n"/>
      <c r="D33" s="175" t="n"/>
      <c r="E33" s="175" t="n"/>
      <c r="F33" s="175" t="n"/>
      <c r="G33" s="175" t="n"/>
      <c r="H33" s="175" t="n"/>
      <c r="I33" s="176">
        <f>SUM(C33:H33)</f>
        <v>0</v>
      </c>
    </row>
    <row r="34" ht="16.5" customHeight="1" s="82">
      <c r="A34" s="172" t="n"/>
      <c r="B34" s="177" t="inlineStr">
        <is>
          <t>산정특례뇌혈관</t>
        </is>
      </c>
      <c r="C34" s="175" t="n"/>
      <c r="D34" s="175" t="n"/>
      <c r="E34" s="175" t="n"/>
      <c r="F34" s="175" t="n"/>
      <c r="G34" s="175" t="n"/>
      <c r="H34" s="175" t="n"/>
      <c r="I34" s="176">
        <f>SUM(C34:H34)</f>
        <v>0</v>
      </c>
    </row>
    <row r="35" ht="16.5" customHeight="1" s="82">
      <c r="A35" s="172" t="n"/>
      <c r="B35" s="177" t="inlineStr">
        <is>
          <t>2대 주요치료비</t>
        </is>
      </c>
      <c r="C35" s="175" t="n"/>
      <c r="D35" s="175" t="n"/>
      <c r="E35" s="175" t="n"/>
      <c r="F35" s="175" t="n"/>
      <c r="G35" s="175" t="n"/>
      <c r="H35" s="175" t="n"/>
      <c r="I35" s="176">
        <f>SUM(C35:H35)</f>
        <v>0</v>
      </c>
    </row>
    <row r="36" ht="16.5" customHeight="1" s="82">
      <c r="A36" s="178" t="n"/>
      <c r="B36" s="179" t="inlineStr">
        <is>
          <t>혈전용해치료비</t>
        </is>
      </c>
      <c r="C36" s="180" t="n"/>
      <c r="D36" s="180" t="n"/>
      <c r="E36" s="180" t="n"/>
      <c r="F36" s="180" t="n"/>
      <c r="G36" s="180" t="n"/>
      <c r="H36" s="180" t="n"/>
      <c r="I36" s="161">
        <f>SUM(C36:H36)</f>
        <v>0</v>
      </c>
    </row>
    <row r="37" ht="16.5" customHeight="1" s="82">
      <c r="A37" s="181" t="inlineStr">
        <is>
          <t>심장</t>
        </is>
      </c>
      <c r="B37" s="177" t="inlineStr">
        <is>
          <t>협심증</t>
        </is>
      </c>
      <c r="C37" s="175" t="n"/>
      <c r="D37" s="175" t="n"/>
      <c r="E37" s="175" t="n"/>
      <c r="F37" s="175" t="n"/>
      <c r="G37" s="175" t="n"/>
      <c r="H37" s="175" t="n"/>
      <c r="I37" s="176">
        <f>SUM(C37:H37)</f>
        <v>0</v>
      </c>
    </row>
    <row r="38" ht="16.5" customHeight="1" s="82">
      <c r="A38" s="172" t="n"/>
      <c r="B38" s="177" t="inlineStr">
        <is>
          <t>심부전</t>
        </is>
      </c>
      <c r="C38" s="175" t="n"/>
      <c r="D38" s="175" t="n"/>
      <c r="E38" s="175" t="n"/>
      <c r="F38" s="175" t="n"/>
      <c r="G38" s="175" t="n"/>
      <c r="H38" s="175" t="n"/>
      <c r="I38" s="176">
        <f>SUM(C38:H38)</f>
        <v>0</v>
      </c>
    </row>
    <row r="39" ht="16.5" customHeight="1" s="82">
      <c r="A39" s="172" t="n"/>
      <c r="B39" s="177" t="inlineStr">
        <is>
          <t>빈맥</t>
        </is>
      </c>
      <c r="C39" s="175" t="n"/>
      <c r="D39" s="175" t="n"/>
      <c r="E39" s="175" t="n"/>
      <c r="F39" s="175" t="n"/>
      <c r="G39" s="175" t="n"/>
      <c r="H39" s="175" t="n"/>
      <c r="I39" s="176">
        <f>SUM(C39:H39)</f>
        <v>0</v>
      </c>
    </row>
    <row r="40" ht="16.5" customHeight="1" s="82">
      <c r="A40" s="172" t="n"/>
      <c r="B40" s="177" t="inlineStr">
        <is>
          <t>염증</t>
        </is>
      </c>
      <c r="C40" s="175" t="n"/>
      <c r="D40" s="175" t="n"/>
      <c r="E40" s="175" t="n"/>
      <c r="F40" s="175" t="n"/>
      <c r="G40" s="175" t="n"/>
      <c r="H40" s="175" t="n"/>
      <c r="I40" s="176">
        <f>SUM(C40:H40)</f>
        <v>0</v>
      </c>
    </row>
    <row r="41" ht="17.25" customHeight="1" s="82">
      <c r="A41" s="172" t="n"/>
      <c r="B41" s="177" t="inlineStr">
        <is>
          <t>부정맥</t>
        </is>
      </c>
      <c r="C41" s="175" t="n"/>
      <c r="D41" s="175" t="n"/>
      <c r="E41" s="175" t="n"/>
      <c r="F41" s="174" t="n">
        <v>1000</v>
      </c>
      <c r="G41" s="175" t="n"/>
      <c r="H41" s="175" t="n"/>
      <c r="I41" s="176">
        <f>SUM(C41:H41)</f>
        <v>1000</v>
      </c>
    </row>
    <row r="42" ht="16.5" customHeight="1" s="82">
      <c r="A42" s="172" t="n"/>
      <c r="B42" s="177" t="inlineStr">
        <is>
          <t>심근병증</t>
        </is>
      </c>
      <c r="C42" s="184" t="n"/>
      <c r="D42" s="184" t="n"/>
      <c r="E42" s="184" t="n"/>
      <c r="F42" s="184" t="n"/>
      <c r="G42" s="184" t="n"/>
      <c r="H42" s="184" t="n"/>
      <c r="I42" s="185">
        <f>SUM(C42:H42)</f>
        <v>0</v>
      </c>
    </row>
    <row r="43" ht="16.5" customHeight="1" s="82">
      <c r="A43" s="172" t="n"/>
      <c r="B43" s="177" t="inlineStr">
        <is>
          <t>심장판막</t>
        </is>
      </c>
      <c r="C43" s="184" t="n"/>
      <c r="D43" s="184" t="n"/>
      <c r="E43" s="184" t="n"/>
      <c r="F43" s="184" t="n"/>
      <c r="G43" s="184" t="n"/>
      <c r="H43" s="184" t="n"/>
      <c r="I43" s="185">
        <f>SUM(C43:H43)</f>
        <v>0</v>
      </c>
    </row>
    <row r="44" ht="17.25" customHeight="1" s="82">
      <c r="A44" s="172" t="n"/>
      <c r="B44" s="177" t="inlineStr">
        <is>
          <t>산정특례심장</t>
        </is>
      </c>
      <c r="C44" s="175" t="n"/>
      <c r="D44" s="175" t="n"/>
      <c r="E44" s="175" t="n"/>
      <c r="F44" s="175" t="n"/>
      <c r="G44" s="175" t="n"/>
      <c r="H44" s="175" t="n"/>
      <c r="I44" s="176">
        <f>SUM(C44:H44)</f>
        <v>0</v>
      </c>
    </row>
    <row r="45" ht="17.25" customHeight="1" s="82">
      <c r="A45" s="172" t="n"/>
      <c r="B45" s="186" t="inlineStr">
        <is>
          <t>2대 주요치료비</t>
        </is>
      </c>
      <c r="C45" s="175" t="n"/>
      <c r="D45" s="175" t="n"/>
      <c r="E45" s="175" t="n"/>
      <c r="F45" s="175" t="n"/>
      <c r="G45" s="175" t="n"/>
      <c r="H45" s="175" t="n"/>
      <c r="I45" s="176">
        <f>SUM(C45:H45)</f>
        <v>0</v>
      </c>
    </row>
    <row r="46" ht="16.5" customHeight="1" s="82">
      <c r="A46" s="172" t="n"/>
      <c r="B46" s="186" t="inlineStr">
        <is>
          <t>허혈성 진단비</t>
        </is>
      </c>
      <c r="C46" s="175" t="n"/>
      <c r="D46" s="175" t="n"/>
      <c r="E46" s="175" t="n"/>
      <c r="F46" s="174" t="n">
        <v>1000</v>
      </c>
      <c r="G46" s="174" t="n">
        <v>1000</v>
      </c>
      <c r="H46" s="175" t="n"/>
      <c r="I46" s="176">
        <f>SUM(C46:H46)</f>
        <v>2000</v>
      </c>
    </row>
    <row r="47" ht="16.5" customHeight="1" s="82">
      <c r="A47" s="172" t="n"/>
      <c r="B47" s="173" t="inlineStr">
        <is>
          <t>급성심근경색</t>
        </is>
      </c>
      <c r="C47" s="174" t="n">
        <v>1000</v>
      </c>
      <c r="D47" s="175" t="n"/>
      <c r="E47" s="175" t="n"/>
      <c r="F47" s="175" t="n"/>
      <c r="G47" s="175" t="n"/>
      <c r="H47" s="175" t="n"/>
      <c r="I47" s="176">
        <f>SUM(C47:H47)</f>
        <v>1000</v>
      </c>
    </row>
    <row r="48" ht="16.5" customHeight="1" s="82">
      <c r="A48" s="178" t="n"/>
      <c r="B48" s="187" t="inlineStr">
        <is>
          <t>중대한 급성심근</t>
        </is>
      </c>
      <c r="C48" s="159" t="n">
        <v>3200</v>
      </c>
      <c r="D48" s="180" t="n"/>
      <c r="E48" s="180" t="n"/>
      <c r="F48" s="180" t="n"/>
      <c r="G48" s="180" t="n"/>
      <c r="H48" s="180" t="n"/>
      <c r="I48" s="161">
        <f>SUM(C48:H48)</f>
        <v>3200</v>
      </c>
    </row>
    <row r="49" ht="16.5" customHeight="1" s="82">
      <c r="A49" s="181" t="inlineStr">
        <is>
          <t>일당</t>
        </is>
      </c>
      <c r="B49" s="177" t="inlineStr">
        <is>
          <t>혈전용해치료비</t>
        </is>
      </c>
      <c r="C49" s="175" t="n"/>
      <c r="D49" s="175" t="n"/>
      <c r="E49" s="175" t="n"/>
      <c r="F49" s="175" t="n"/>
      <c r="G49" s="175" t="n"/>
      <c r="H49" s="175" t="n"/>
      <c r="I49" s="176">
        <f>SUM(C49:H49)</f>
        <v>0</v>
      </c>
    </row>
    <row r="50" ht="16.5" customHeight="1" s="82">
      <c r="A50" s="172" t="n"/>
      <c r="B50" s="177" t="inlineStr">
        <is>
          <t>질병일당</t>
        </is>
      </c>
      <c r="C50" s="174" t="n">
        <v>2</v>
      </c>
      <c r="D50" s="175" t="n"/>
      <c r="E50" s="175" t="n"/>
      <c r="F50" s="175" t="n"/>
      <c r="G50" s="175" t="n"/>
      <c r="H50" s="175" t="n"/>
      <c r="I50" s="176">
        <f>SUM(C50:H50)</f>
        <v>2</v>
      </c>
    </row>
    <row r="51" ht="16.5" customHeight="1" s="82">
      <c r="A51" s="172" t="n"/>
      <c r="B51" s="177" t="inlineStr">
        <is>
          <t>질병수술일당</t>
        </is>
      </c>
      <c r="C51" s="175" t="n"/>
      <c r="D51" s="175" t="n"/>
      <c r="E51" s="175" t="n"/>
      <c r="F51" s="175" t="n"/>
      <c r="G51" s="175" t="n"/>
      <c r="H51" s="175" t="n"/>
      <c r="I51" s="176">
        <f>SUM(C51:H51)</f>
        <v>0</v>
      </c>
    </row>
    <row r="52" ht="16.5" customHeight="1" s="82">
      <c r="A52" s="172" t="n"/>
      <c r="B52" s="177" t="inlineStr">
        <is>
          <t>질병종합병원일당</t>
        </is>
      </c>
      <c r="C52" s="175" t="n"/>
      <c r="D52" s="175" t="n"/>
      <c r="E52" s="175" t="n"/>
      <c r="F52" s="175" t="n"/>
      <c r="G52" s="175" t="n"/>
      <c r="H52" s="175" t="n"/>
      <c r="I52" s="176">
        <f>SUM(C52:H52)</f>
        <v>0</v>
      </c>
    </row>
    <row r="53" ht="16.5" customHeight="1" s="82">
      <c r="A53" s="172" t="n"/>
      <c r="B53" s="177" t="inlineStr">
        <is>
          <t>상해일당</t>
        </is>
      </c>
      <c r="C53" s="174" t="n">
        <v>2</v>
      </c>
      <c r="D53" s="175" t="n"/>
      <c r="E53" s="175" t="n"/>
      <c r="F53" s="175" t="n"/>
      <c r="G53" s="175" t="n"/>
      <c r="H53" s="182" t="n">
        <v>2</v>
      </c>
      <c r="I53" s="176">
        <f>SUM(C53:H53)</f>
        <v>4</v>
      </c>
    </row>
    <row r="54" ht="16.5" customHeight="1" s="82">
      <c r="A54" s="172" t="n"/>
      <c r="B54" s="177" t="inlineStr">
        <is>
          <t>간병인</t>
        </is>
      </c>
      <c r="C54" s="175" t="n"/>
      <c r="D54" s="175" t="n"/>
      <c r="E54" s="175" t="n"/>
      <c r="F54" s="175" t="n"/>
      <c r="G54" s="175" t="n"/>
      <c r="H54" s="175" t="n"/>
      <c r="I54" s="176">
        <f>IF(COUNT(C54:H54)=0,0,MAX(C54:H54))</f>
        <v>0</v>
      </c>
    </row>
    <row r="55" ht="16.5" customHeight="1" s="82">
      <c r="A55" s="172" t="n"/>
      <c r="B55" s="177" t="inlineStr">
        <is>
          <t>간병인지원일당</t>
        </is>
      </c>
      <c r="C55" s="175" t="n"/>
      <c r="D55" s="175" t="n"/>
      <c r="E55" s="175" t="n"/>
      <c r="F55" s="175" t="n"/>
      <c r="G55" s="175" t="n"/>
      <c r="H55" s="175" t="n"/>
      <c r="I55" s="176">
        <f>SUM(C55:H55)</f>
        <v>0</v>
      </c>
    </row>
    <row r="56" ht="16.5" customHeight="1" s="82">
      <c r="A56" s="172" t="n"/>
      <c r="B56" s="177" t="inlineStr">
        <is>
          <t>간호통합병동</t>
        </is>
      </c>
      <c r="C56" s="175" t="n"/>
      <c r="D56" s="175" t="n"/>
      <c r="E56" s="175" t="n"/>
      <c r="F56" s="175" t="n"/>
      <c r="G56" s="175" t="n"/>
      <c r="H56" s="175" t="n"/>
      <c r="I56" s="176">
        <f>IF(SUM(C56:H56)&gt;0,7,0)</f>
        <v>0</v>
      </c>
    </row>
    <row r="57" ht="16.5" customHeight="1" s="82">
      <c r="A57" s="172" t="n"/>
      <c r="B57" s="186" t="inlineStr">
        <is>
          <t>1인실 종합병원</t>
        </is>
      </c>
      <c r="C57" s="175" t="n"/>
      <c r="D57" s="175" t="n"/>
      <c r="E57" s="175" t="n"/>
      <c r="F57" s="175" t="n"/>
      <c r="G57" s="175" t="n"/>
      <c r="H57" s="175" t="n"/>
      <c r="I57" s="176">
        <f>SUM(C57:H57)</f>
        <v>0</v>
      </c>
    </row>
    <row r="58" ht="16.5" customHeight="1" s="82">
      <c r="A58" s="172" t="n"/>
      <c r="B58" s="186" t="inlineStr">
        <is>
          <t>1인실 상급병원</t>
        </is>
      </c>
      <c r="C58" s="175" t="n"/>
      <c r="D58" s="175" t="n"/>
      <c r="E58" s="175" t="n"/>
      <c r="F58" s="175" t="n"/>
      <c r="G58" s="175" t="n"/>
      <c r="H58" s="175" t="n"/>
      <c r="I58" s="176">
        <f>SUM(C58:H58)</f>
        <v>0</v>
      </c>
    </row>
    <row r="59" ht="16.5" customHeight="1" s="82">
      <c r="A59" s="172" t="n"/>
      <c r="B59" s="177" t="inlineStr">
        <is>
          <t>질병중환자실</t>
        </is>
      </c>
      <c r="C59" s="175" t="n"/>
      <c r="D59" s="175" t="n"/>
      <c r="E59" s="175" t="n"/>
      <c r="F59" s="175" t="n"/>
      <c r="G59" s="175" t="n"/>
      <c r="H59" s="175" t="n"/>
      <c r="I59" s="176">
        <f>SUM(C59:H59)</f>
        <v>0</v>
      </c>
    </row>
    <row r="60" ht="16.5" customHeight="1" s="82">
      <c r="A60" s="178" t="n"/>
      <c r="B60" s="179" t="inlineStr">
        <is>
          <t>상해중환자실</t>
        </is>
      </c>
      <c r="C60" s="180" t="n"/>
      <c r="D60" s="180" t="n"/>
      <c r="E60" s="180" t="n"/>
      <c r="F60" s="180" t="n"/>
      <c r="G60" s="180" t="n"/>
      <c r="H60" s="160" t="n">
        <v>10</v>
      </c>
      <c r="I60" s="161">
        <f>SUM(C60:H60)</f>
        <v>10</v>
      </c>
    </row>
    <row r="61" ht="16.5" customHeight="1" s="82">
      <c r="A61" s="181" t="inlineStr">
        <is>
          <t>수술</t>
        </is>
      </c>
      <c r="B61" s="177" t="inlineStr">
        <is>
          <t>상해수술비</t>
        </is>
      </c>
      <c r="C61" s="175" t="n"/>
      <c r="D61" s="175" t="n"/>
      <c r="E61" s="175" t="n"/>
      <c r="F61" s="175" t="n"/>
      <c r="G61" s="175" t="n"/>
      <c r="H61" s="182" t="n">
        <v>50</v>
      </c>
      <c r="I61" s="176">
        <f>SUM(C61:H61)</f>
        <v>50</v>
      </c>
    </row>
    <row r="62" ht="17.25" customHeight="1" s="82">
      <c r="A62" s="172" t="n"/>
      <c r="B62" s="177" t="inlineStr">
        <is>
          <t>중대한상해수술비</t>
        </is>
      </c>
      <c r="C62" s="175" t="n"/>
      <c r="D62" s="175" t="n"/>
      <c r="E62" s="175" t="n"/>
      <c r="F62" s="175" t="n"/>
      <c r="G62" s="175" t="n"/>
      <c r="H62" s="175" t="n"/>
      <c r="I62" s="176">
        <f>SUM(C62:H62)</f>
        <v>0</v>
      </c>
    </row>
    <row r="63" ht="17.25" customHeight="1" s="82">
      <c r="A63" s="172" t="n"/>
      <c r="B63" s="177" t="inlineStr">
        <is>
          <t>상해 종수술비(1-5종)</t>
        </is>
      </c>
      <c r="C63" s="175" t="n"/>
      <c r="D63" s="175" t="n"/>
      <c r="E63" s="175" t="n"/>
      <c r="F63" s="183" t="n"/>
      <c r="G63" s="175" t="n"/>
      <c r="H63" s="175" t="n"/>
      <c r="I63" s="176">
        <f>SUM(C63:H63)</f>
        <v>0</v>
      </c>
    </row>
    <row r="64" ht="16.5" customHeight="1" s="82">
      <c r="A64" s="172" t="n"/>
      <c r="B64" s="177" t="inlineStr">
        <is>
          <t>상해 종수술비(1-8종)</t>
        </is>
      </c>
      <c r="C64" s="175" t="n"/>
      <c r="D64" s="175" t="n"/>
      <c r="E64" s="175" t="n"/>
      <c r="F64" s="183" t="n"/>
      <c r="G64" s="175" t="n"/>
      <c r="H64" s="175" t="n"/>
      <c r="I64" s="176">
        <f>SUM(C64:H64)</f>
        <v>0</v>
      </c>
    </row>
    <row r="65" ht="16.5" customHeight="1" s="82">
      <c r="A65" s="172" t="n"/>
      <c r="B65" s="177" t="inlineStr">
        <is>
          <t>창상봉합술</t>
        </is>
      </c>
      <c r="C65" s="175" t="n"/>
      <c r="D65" s="175" t="n"/>
      <c r="E65" s="175" t="n"/>
      <c r="F65" s="175" t="n"/>
      <c r="G65" s="175" t="n"/>
      <c r="H65" s="175" t="n"/>
      <c r="I65" s="176">
        <f>SUM(C65:H65)</f>
        <v>0</v>
      </c>
    </row>
    <row r="66" ht="16.5" customHeight="1" s="82">
      <c r="A66" s="172" t="n"/>
      <c r="B66" s="177" t="inlineStr">
        <is>
          <t>골절수술비</t>
        </is>
      </c>
      <c r="C66" s="175" t="n"/>
      <c r="D66" s="175" t="n"/>
      <c r="E66" s="175" t="n"/>
      <c r="F66" s="175" t="n"/>
      <c r="G66" s="175" t="n"/>
      <c r="H66" s="182" t="n">
        <v>10</v>
      </c>
      <c r="I66" s="176">
        <f>SUM(C66:H66)</f>
        <v>10</v>
      </c>
    </row>
    <row r="67" ht="16.5" customHeight="1" s="82">
      <c r="A67" s="172" t="n"/>
      <c r="B67" s="186" t="inlineStr">
        <is>
          <t>5대골절수술비</t>
        </is>
      </c>
      <c r="C67" s="175" t="n"/>
      <c r="D67" s="175" t="n"/>
      <c r="E67" s="175" t="n"/>
      <c r="F67" s="175" t="n"/>
      <c r="G67" s="175" t="n"/>
      <c r="H67" s="182" t="n">
        <v>50</v>
      </c>
      <c r="I67" s="176">
        <f>SUM(C67:H67)</f>
        <v>50</v>
      </c>
    </row>
    <row r="68" ht="17.25" customHeight="1" s="82">
      <c r="A68" s="172" t="n"/>
      <c r="B68" s="177" t="inlineStr">
        <is>
          <t>화상수술비</t>
        </is>
      </c>
      <c r="C68" s="175" t="n"/>
      <c r="D68" s="175" t="n"/>
      <c r="E68" s="175" t="n"/>
      <c r="F68" s="175" t="n"/>
      <c r="G68" s="175" t="n"/>
      <c r="H68" s="182" t="n">
        <v>10</v>
      </c>
      <c r="I68" s="176">
        <f>SUM(C68:H68)</f>
        <v>10</v>
      </c>
    </row>
    <row r="69" ht="16.5" customHeight="1" s="82">
      <c r="A69" s="188" t="n"/>
      <c r="B69" s="189" t="inlineStr">
        <is>
          <t>질병수술비</t>
        </is>
      </c>
      <c r="C69" s="170" t="n"/>
      <c r="D69" s="170" t="n"/>
      <c r="E69" s="170" t="n"/>
      <c r="F69" s="170" t="n"/>
      <c r="G69" s="170" t="n"/>
      <c r="H69" s="170" t="n"/>
      <c r="I69" s="171">
        <f>SUM(C69:H69)</f>
        <v>0</v>
      </c>
    </row>
    <row r="70" ht="16.5" customHeight="1" s="82">
      <c r="A70" s="172" t="n"/>
      <c r="B70" s="177" t="inlineStr">
        <is>
          <t>질병 종수술비(1-5종)</t>
        </is>
      </c>
      <c r="C70" s="175" t="n"/>
      <c r="D70" s="175" t="n"/>
      <c r="E70" s="175" t="n"/>
      <c r="F70" s="183" t="n"/>
      <c r="G70" s="175" t="n"/>
      <c r="H70" s="175" t="n"/>
      <c r="I70" s="176">
        <f>SUM(C70:H70)</f>
        <v>0</v>
      </c>
    </row>
    <row r="71" ht="16.5" customHeight="1" s="82">
      <c r="A71" s="172" t="n"/>
      <c r="B71" s="177" t="inlineStr">
        <is>
          <t>질병 종수술비(1-8종)</t>
        </is>
      </c>
      <c r="C71" s="175" t="n"/>
      <c r="D71" s="175" t="n"/>
      <c r="E71" s="175" t="n"/>
      <c r="F71" s="183" t="n"/>
      <c r="G71" s="175" t="n"/>
      <c r="H71" s="175" t="n"/>
      <c r="I71" s="176">
        <f>SUM(C71:H71)</f>
        <v>0</v>
      </c>
    </row>
    <row r="72" ht="16.5" customHeight="1" s="82">
      <c r="A72" s="172" t="n"/>
      <c r="B72" s="177" t="inlineStr">
        <is>
          <t>뇌혈관수술비</t>
        </is>
      </c>
      <c r="C72" s="175" t="n"/>
      <c r="D72" s="175" t="n"/>
      <c r="E72" s="175" t="n"/>
      <c r="F72" s="174" t="n">
        <v>1000</v>
      </c>
      <c r="G72" s="174" t="n">
        <v>1000</v>
      </c>
      <c r="H72" s="175" t="n"/>
      <c r="I72" s="176">
        <f>SUM(C72:H72)</f>
        <v>2000</v>
      </c>
    </row>
    <row r="73" ht="16.5" customHeight="1" s="82">
      <c r="A73" s="172" t="n"/>
      <c r="B73" s="177" t="inlineStr">
        <is>
          <t>허혈성수술비</t>
        </is>
      </c>
      <c r="C73" s="175" t="n"/>
      <c r="D73" s="175" t="n"/>
      <c r="E73" s="175" t="n"/>
      <c r="F73" s="174" t="n">
        <v>1000</v>
      </c>
      <c r="G73" s="174" t="n">
        <v>1000</v>
      </c>
      <c r="H73" s="175" t="n"/>
      <c r="I73" s="176">
        <f>SUM(C73:H73)</f>
        <v>2000</v>
      </c>
    </row>
    <row r="74" ht="16.5" customHeight="1" s="82">
      <c r="A74" s="172" t="n"/>
      <c r="B74" s="177" t="inlineStr">
        <is>
          <t>심장수술비</t>
        </is>
      </c>
      <c r="C74" s="175" t="n"/>
      <c r="D74" s="175" t="n"/>
      <c r="E74" s="175" t="n"/>
      <c r="F74" s="175" t="n"/>
      <c r="G74" s="175" t="n"/>
      <c r="H74" s="175" t="n"/>
      <c r="I74" s="176">
        <f>SUM(C74:H74)</f>
        <v>0</v>
      </c>
    </row>
    <row r="75" ht="16.5" customHeight="1" s="82">
      <c r="A75" s="172" t="n"/>
      <c r="B75" s="186" t="inlineStr">
        <is>
          <t>120대수술비</t>
        </is>
      </c>
      <c r="C75" s="175" t="n"/>
      <c r="D75" s="175" t="n"/>
      <c r="E75" s="175" t="n"/>
      <c r="F75" s="175" t="n"/>
      <c r="G75" s="175" t="n"/>
      <c r="H75" s="175" t="n"/>
      <c r="I75" s="176">
        <f>SUM(C75:H75)</f>
        <v>0</v>
      </c>
    </row>
    <row r="76" ht="17.25" customHeight="1" s="82">
      <c r="A76" s="172" t="n"/>
      <c r="B76" s="186" t="inlineStr">
        <is>
          <t>5대기관 수술비 관혈</t>
        </is>
      </c>
      <c r="C76" s="175" t="n"/>
      <c r="D76" s="175" t="n"/>
      <c r="E76" s="175" t="n"/>
      <c r="F76" s="175" t="n"/>
      <c r="G76" s="175" t="n"/>
      <c r="H76" s="175" t="n"/>
      <c r="I76" s="176">
        <f>SUM(C76:H76)</f>
        <v>0</v>
      </c>
    </row>
    <row r="77" ht="16.5" customHeight="1" s="82">
      <c r="A77" s="178" t="n"/>
      <c r="B77" s="190" t="inlineStr">
        <is>
          <t>5대기관 수술비 비관혈</t>
        </is>
      </c>
      <c r="C77" s="180" t="n"/>
      <c r="D77" s="180" t="n"/>
      <c r="E77" s="180" t="n"/>
      <c r="F77" s="180" t="n"/>
      <c r="G77" s="180" t="n"/>
      <c r="H77" s="180" t="n"/>
      <c r="I77" s="161">
        <f>SUM(C77:H77)</f>
        <v>0</v>
      </c>
    </row>
    <row r="78" ht="16.5" customHeight="1" s="82">
      <c r="A78" s="181" t="inlineStr">
        <is>
          <t>운전</t>
        </is>
      </c>
      <c r="B78" s="177" t="inlineStr">
        <is>
          <t>대인</t>
        </is>
      </c>
      <c r="C78" s="175" t="n"/>
      <c r="D78" s="175" t="n"/>
      <c r="E78" s="175" t="n"/>
      <c r="F78" s="175" t="n"/>
      <c r="G78" s="175" t="n"/>
      <c r="H78" s="182" t="n">
        <v>3000</v>
      </c>
      <c r="I78" s="176">
        <f>SUM(C78:H78)</f>
        <v>3000</v>
      </c>
    </row>
    <row r="79" ht="17.25" customHeight="1" s="82">
      <c r="A79" s="172" t="n"/>
      <c r="B79" s="177" t="inlineStr">
        <is>
          <t>대물</t>
        </is>
      </c>
      <c r="C79" s="175" t="n"/>
      <c r="D79" s="175" t="n"/>
      <c r="E79" s="175" t="n"/>
      <c r="F79" s="175" t="n"/>
      <c r="G79" s="175" t="n"/>
      <c r="H79" s="182" t="n">
        <v>500</v>
      </c>
      <c r="I79" s="176">
        <f>SUM(C79:H79)</f>
        <v>500</v>
      </c>
    </row>
    <row r="80" ht="17.25" customHeight="1" s="82">
      <c r="A80" s="172" t="n"/>
      <c r="B80" s="177" t="inlineStr">
        <is>
          <t>합의금</t>
        </is>
      </c>
      <c r="C80" s="175" t="n"/>
      <c r="D80" s="175" t="n"/>
      <c r="E80" s="175" t="n"/>
      <c r="F80" s="175" t="n"/>
      <c r="G80" s="175" t="n"/>
      <c r="H80" s="182" t="n">
        <v>10000</v>
      </c>
      <c r="I80" s="176">
        <f>SUM(C80:H80)</f>
        <v>10000</v>
      </c>
    </row>
    <row r="81" ht="17.25" customHeight="1" s="82">
      <c r="A81" s="172" t="n"/>
      <c r="B81" s="186" t="inlineStr">
        <is>
          <t>6주미만</t>
        </is>
      </c>
      <c r="C81" s="175" t="n"/>
      <c r="D81" s="175" t="n"/>
      <c r="E81" s="175" t="n"/>
      <c r="F81" s="175" t="n"/>
      <c r="G81" s="175" t="n"/>
      <c r="H81" s="175" t="n"/>
      <c r="I81" s="176">
        <f>SUM(C81:H81)</f>
        <v>0</v>
      </c>
    </row>
    <row r="82" ht="16.5" customHeight="1" s="82">
      <c r="A82" s="172" t="n"/>
      <c r="B82" s="177" t="inlineStr">
        <is>
          <t>변호사</t>
        </is>
      </c>
      <c r="C82" s="175" t="n"/>
      <c r="D82" s="175" t="n"/>
      <c r="E82" s="175" t="n"/>
      <c r="F82" s="175" t="n"/>
      <c r="G82" s="175" t="n"/>
      <c r="H82" s="182" t="n">
        <v>2000</v>
      </c>
      <c r="I82" s="176">
        <f>SUM(C82:H82)</f>
        <v>2000</v>
      </c>
    </row>
    <row r="83" ht="17.25" customHeight="1" s="82">
      <c r="A83" s="178" t="n"/>
      <c r="B83" s="179" t="inlineStr">
        <is>
          <t>자부상</t>
        </is>
      </c>
      <c r="C83" s="180" t="n"/>
      <c r="D83" s="180" t="n"/>
      <c r="E83" s="180" t="n"/>
      <c r="F83" s="180" t="n"/>
      <c r="G83" s="180" t="n"/>
      <c r="H83" s="160" t="n">
        <v>30</v>
      </c>
      <c r="I83" s="161">
        <f>MIN(SUM(C83:H83),80)</f>
        <v>30</v>
      </c>
    </row>
    <row r="84" ht="16.5" customHeight="1" s="82">
      <c r="A84" s="181" t="inlineStr">
        <is>
          <t>골절</t>
        </is>
      </c>
      <c r="B84" s="177" t="inlineStr">
        <is>
          <t>골절(치아파절포함)</t>
        </is>
      </c>
      <c r="C84" s="175" t="n"/>
      <c r="D84" s="175" t="n"/>
      <c r="E84" s="175" t="n"/>
      <c r="F84" s="175" t="n"/>
      <c r="G84" s="175" t="n"/>
      <c r="H84" s="182" t="n">
        <v>30</v>
      </c>
      <c r="I84" s="176">
        <f>SUM(C84:H84)</f>
        <v>30</v>
      </c>
    </row>
    <row r="85" ht="17.25" customHeight="1" s="82">
      <c r="A85" s="172" t="n"/>
      <c r="B85" s="177" t="inlineStr">
        <is>
          <t>골절(치아파절제외)</t>
        </is>
      </c>
      <c r="C85" s="175" t="n"/>
      <c r="D85" s="175" t="n"/>
      <c r="E85" s="175" t="n"/>
      <c r="F85" s="175" t="n"/>
      <c r="G85" s="175" t="n"/>
      <c r="H85" s="175" t="n"/>
      <c r="I85" s="176">
        <f>SUM(C85:H85)</f>
        <v>0</v>
      </c>
    </row>
    <row r="86" ht="16.5" customHeight="1" s="82">
      <c r="A86" s="178" t="n"/>
      <c r="B86" s="190" t="inlineStr">
        <is>
          <t>5대골절진단비</t>
        </is>
      </c>
      <c r="C86" s="180" t="n"/>
      <c r="D86" s="180" t="n"/>
      <c r="E86" s="180" t="n"/>
      <c r="F86" s="180" t="n"/>
      <c r="G86" s="180" t="n"/>
      <c r="H86" s="160" t="n">
        <v>100</v>
      </c>
      <c r="I86" s="161">
        <f>SUM(C86:H86)</f>
        <v>100</v>
      </c>
    </row>
    <row r="87" ht="16.5" customHeight="1" s="82">
      <c r="A87" s="191" t="inlineStr">
        <is>
          <t>응급실</t>
        </is>
      </c>
      <c r="B87" s="179" t="inlineStr">
        <is>
          <t>응급실(응급)</t>
        </is>
      </c>
      <c r="C87" s="180" t="n"/>
      <c r="D87" s="180" t="n"/>
      <c r="E87" s="180" t="n"/>
      <c r="F87" s="180" t="n"/>
      <c r="G87" s="180" t="n"/>
      <c r="H87" s="160" t="n">
        <v>3</v>
      </c>
      <c r="I87" s="161">
        <f>SUM(C87:H87)</f>
        <v>3</v>
      </c>
    </row>
    <row r="88" ht="17.25" customHeight="1" s="82">
      <c r="A88" s="191" t="inlineStr">
        <is>
          <t>독감</t>
        </is>
      </c>
      <c r="B88" s="179" t="inlineStr">
        <is>
          <t>독감</t>
        </is>
      </c>
      <c r="C88" s="180" t="n"/>
      <c r="D88" s="180" t="n"/>
      <c r="E88" s="180" t="n"/>
      <c r="F88" s="180" t="n"/>
      <c r="G88" s="180" t="n"/>
      <c r="H88" s="180" t="n"/>
      <c r="I88" s="161">
        <f>SUM(C88:H88)</f>
        <v>0</v>
      </c>
    </row>
    <row r="89" ht="17.25" customHeight="1" s="82">
      <c r="A89" s="181" t="inlineStr">
        <is>
          <t>화상</t>
        </is>
      </c>
      <c r="B89" s="177" t="inlineStr">
        <is>
          <t>화상진단비</t>
        </is>
      </c>
      <c r="C89" s="175" t="n"/>
      <c r="D89" s="175" t="n"/>
      <c r="E89" s="175" t="n"/>
      <c r="F89" s="175" t="n"/>
      <c r="G89" s="175" t="n"/>
      <c r="H89" s="182" t="n">
        <v>20</v>
      </c>
      <c r="I89" s="176">
        <f>SUM(C89:H89)</f>
        <v>20</v>
      </c>
    </row>
    <row r="90">
      <c r="A90" s="178" t="n"/>
      <c r="B90" s="179" t="inlineStr">
        <is>
          <t>중증화상진단비</t>
        </is>
      </c>
      <c r="C90" s="180" t="n"/>
      <c r="D90" s="180" t="n"/>
      <c r="E90" s="180" t="n"/>
      <c r="F90" s="180" t="n"/>
      <c r="G90" s="180" t="n"/>
      <c r="H90" s="180" t="n"/>
      <c r="I90" s="161">
        <f>SUM(C90:H90)</f>
        <v>0</v>
      </c>
    </row>
    <row r="91">
      <c r="A91" s="181" t="inlineStr">
        <is>
          <t>깁스</t>
        </is>
      </c>
      <c r="B91" s="177" t="inlineStr">
        <is>
          <t>반깁스</t>
        </is>
      </c>
      <c r="C91" s="175" t="n"/>
      <c r="D91" s="175" t="n"/>
      <c r="E91" s="175" t="n"/>
      <c r="F91" s="175" t="n"/>
      <c r="G91" s="175" t="n"/>
      <c r="H91" s="175" t="n"/>
      <c r="I91" s="176">
        <f>SUM(C91:H91)</f>
        <v>0</v>
      </c>
    </row>
    <row r="92">
      <c r="A92" s="178" t="n"/>
      <c r="B92" s="179" t="inlineStr">
        <is>
          <t>깁스진단비</t>
        </is>
      </c>
      <c r="C92" s="180" t="n"/>
      <c r="D92" s="180" t="n"/>
      <c r="E92" s="180" t="n"/>
      <c r="F92" s="180" t="n"/>
      <c r="G92" s="180" t="n"/>
      <c r="H92" s="160" t="n">
        <v>30</v>
      </c>
      <c r="I92" s="161">
        <f>SUM(C92:H92)</f>
        <v>30</v>
      </c>
    </row>
    <row r="93">
      <c r="A93" s="181" t="inlineStr">
        <is>
          <t>실손</t>
        </is>
      </c>
      <c r="B93" s="177" t="inlineStr">
        <is>
          <t>입원</t>
        </is>
      </c>
      <c r="C93" s="182" t="n">
        <v>3000</v>
      </c>
      <c r="D93" s="183" t="n"/>
      <c r="E93" s="183" t="n"/>
      <c r="F93" s="183" t="n"/>
      <c r="G93" s="183" t="n"/>
      <c r="H93" s="183" t="n"/>
      <c r="I93" s="176">
        <f>MIN(SUM(C93:H93),5000)</f>
        <v>3000</v>
      </c>
    </row>
    <row r="94">
      <c r="A94" s="172" t="n"/>
      <c r="B94" s="177" t="inlineStr">
        <is>
          <t>통원</t>
        </is>
      </c>
      <c r="C94" s="182" t="n">
        <v>10</v>
      </c>
      <c r="D94" s="183" t="n"/>
      <c r="E94" s="183" t="n"/>
      <c r="F94" s="183" t="n"/>
      <c r="G94" s="183" t="n"/>
      <c r="H94" s="183" t="n"/>
      <c r="I94" s="176">
        <f>SUM(C94:H94)</f>
        <v>10</v>
      </c>
    </row>
    <row r="95" s="82">
      <c r="A95" s="172" t="n"/>
      <c r="B95" s="177" t="inlineStr">
        <is>
          <t>약값</t>
        </is>
      </c>
      <c r="C95" s="182" t="n">
        <v>5</v>
      </c>
      <c r="D95" s="175" t="n"/>
      <c r="E95" s="175" t="n"/>
      <c r="F95" s="175" t="n"/>
      <c r="G95" s="175" t="n"/>
      <c r="H95" s="175" t="n"/>
      <c r="I95" s="176">
        <f>SUM(C95:H95)</f>
        <v>5</v>
      </c>
    </row>
    <row r="96" s="82">
      <c r="A96" s="178" t="n"/>
      <c r="B96" s="179" t="inlineStr">
        <is>
          <t>MRI/도수치료/비급여주사</t>
        </is>
      </c>
      <c r="C96" s="180" t="n"/>
      <c r="D96" s="180" t="n"/>
      <c r="E96" s="180" t="n"/>
      <c r="F96" s="180" t="n"/>
      <c r="G96" s="180" t="n"/>
      <c r="H96" s="180" t="n"/>
      <c r="I96" s="161">
        <f>SUM(C96:H96)</f>
        <v>0</v>
      </c>
    </row>
    <row r="97">
      <c r="A97" s="191" t="inlineStr">
        <is>
          <t>일배책</t>
        </is>
      </c>
      <c r="B97" s="179" t="inlineStr">
        <is>
          <t>일상배상책임</t>
        </is>
      </c>
      <c r="C97" s="192" t="n"/>
      <c r="D97" s="192" t="n"/>
      <c r="E97" s="192" t="n"/>
      <c r="F97" s="192" t="n"/>
      <c r="G97" s="192" t="n"/>
      <c r="H97" s="192" t="n"/>
      <c r="I97" s="161">
        <f>SUM(C97:H97)</f>
        <v>0</v>
      </c>
    </row>
  </sheetData>
  <mergeCells count="17">
    <mergeCell ref="A4:B4"/>
    <mergeCell ref="A93:A96"/>
    <mergeCell ref="A49:A60"/>
    <mergeCell ref="A2:B2"/>
    <mergeCell ref="A78:A83"/>
    <mergeCell ref="A84:A86"/>
    <mergeCell ref="A5:B5"/>
    <mergeCell ref="A61:A77"/>
    <mergeCell ref="A37:A48"/>
    <mergeCell ref="A29:A36"/>
    <mergeCell ref="A15:A28"/>
    <mergeCell ref="A11:A14"/>
    <mergeCell ref="A89:A90"/>
    <mergeCell ref="A1:B1"/>
    <mergeCell ref="A91:A92"/>
    <mergeCell ref="A3:B3"/>
    <mergeCell ref="A6:A10"/>
  </mergeCells>
  <pageMargins left="0.7" right="0.7" top="0.75" bottom="0.75" header="0.511811023622047" footer="0.511811023622047"/>
  <pageSetup orientation="portrait" paperSize="8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A1" sqref="A1"/>
    </sheetView>
  </sheetViews>
  <sheetFormatPr baseColWidth="8" defaultColWidth="8.5" defaultRowHeight="17.4"/>
  <cols>
    <col width="5" customWidth="1" style="82" min="1" max="1"/>
    <col width="110" customWidth="1" style="82" min="2" max="2"/>
  </cols>
  <sheetData>
    <row r="1" ht="20.1" customHeight="1" s="82">
      <c r="A1" s="83" t="inlineStr">
        <is>
          <t>바름 보장분석 법칙 v2 — 이 표본에 내장 (2026.06.09)</t>
        </is>
      </c>
    </row>
    <row r="3" ht="17.1" customHeight="1" s="82">
      <c r="A3" s="0" t="inlineStr">
        <is>
          <t>1</t>
        </is>
      </c>
      <c r="B3" s="84" t="inlineStr">
        <is>
          <t>폼 무변형: 이 표본을 열어 값만 채운다. 새 워크북·행삭제·카테고리축소 금지. 추가만(그룹 안 행삽입), 표 밖 금지.</t>
        </is>
      </c>
    </row>
    <row r="4" ht="17.1" customHeight="1" s="82">
      <c r="A4" s="0" t="inlineStr">
        <is>
          <t>2</t>
        </is>
      </c>
      <c r="B4" s="84" t="inlineStr">
        <is>
          <t>새 고객 입력 시 이전 고객 값 전부 zero화(이 표본에서 새로 시작).</t>
        </is>
      </c>
    </row>
    <row r="5" ht="17.1" customHeight="1" s="82">
      <c r="A5" s="0" t="inlineStr">
        <is>
          <t>3</t>
        </is>
      </c>
      <c r="B5" s="84" t="inlineStr">
        <is>
          <t>열=계약(최대 50). 행=담보(15구분·82행). 끝열=합계.</t>
        </is>
      </c>
    </row>
    <row r="6" ht="17.1" customHeight="1" s="82">
      <c r="A6" s="0" t="inlineStr">
        <is>
          <t>4</t>
        </is>
      </c>
      <c r="B6" s="84" t="inlineStr">
        <is>
          <t>합계 = 세로(계약별) SUM. 4페이지 한장보장 값을 합계칸 직박음 금지(눈속임). 계약별 칸을 채워야 합계가 산다.</t>
        </is>
      </c>
    </row>
    <row r="7" ht="17.1" customHeight="1" s="82">
      <c r="A7" s="0" t="inlineStr">
        <is>
          <t>5</t>
        </is>
      </c>
      <c r="B7" s="84" t="inlineStr">
        <is>
          <t>계약별 대조 필수: A담보가 B회사 칸으로 가면 안 됨.</t>
        </is>
      </c>
    </row>
    <row r="8" ht="17.1" customHeight="1" s="82">
      <c r="A8" s="0" t="inlineStr">
        <is>
          <t>6</t>
        </is>
      </c>
      <c r="B8" s="85" t="inlineStr">
        <is>
          <t>1~5종 수술비 = 질병/상해 각 1행, 슬래시 가로표기 "20/50/100/500/1000", 합계도 종별.</t>
        </is>
      </c>
    </row>
    <row r="9" ht="17.1" customHeight="1" s="82">
      <c r="A9" s="0" t="inlineStr">
        <is>
          <t>7</t>
        </is>
      </c>
      <c r="B9" s="84" t="inlineStr">
        <is>
          <t>갱신/비갱신: ①갱신형명시→갱신 ②운전자→비갱신 ③9999→비갱신 ④총회차240초과→비갱신 ⑤납입년수≠보장년수→비갱신.</t>
        </is>
      </c>
    </row>
    <row r="10" ht="17.1" customHeight="1" s="82">
      <c r="A10" s="0" t="inlineStr">
        <is>
          <t>8</t>
        </is>
      </c>
      <c r="B10" s="84" t="inlineStr">
        <is>
          <t>색: 갱신=파랑 / 비갱신=검정 / 미가입=빨강. 구분셀=연두. 헤더 갱신블루·비갱신레드·완납진녹.</t>
        </is>
      </c>
    </row>
    <row r="11" ht="17.1" customHeight="1" s="82">
      <c r="A11" s="0" t="inlineStr">
        <is>
          <t>9</t>
        </is>
      </c>
      <c r="B11" s="84" t="inlineStr">
        <is>
          <t>심장=담보명 직행(허혈성→허혈성칸, 전파금지). 불확정은 기재+[확인].</t>
        </is>
      </c>
    </row>
    <row r="12" ht="17.1" customHeight="1" s="82">
      <c r="A12" s="0" t="inlineStr">
        <is>
          <t>10</t>
        </is>
      </c>
      <c r="B12" s="85" t="inlineStr">
        <is>
          <t>9999(생보)=종신 → 일반사망(종신)+상해사망. 손보 질병사망=80세칸.</t>
        </is>
      </c>
    </row>
    <row r="13" ht="17.1" customHeight="1" s="82">
      <c r="A13" s="0" t="inlineStr">
        <is>
          <t>11</t>
        </is>
      </c>
      <c r="B13" s="84" t="inlineStr">
        <is>
          <t>추측 금지: 모르면 빈칸+[확인]. 채우는 게 최악, 비우고 메모가 차선, 확정 기재가 최선. 자동천장 95%.</t>
        </is>
      </c>
    </row>
    <row r="14" ht="17.1" customHeight="1" s="82">
      <c r="A14" s="0" t="inlineStr">
        <is>
          <t>12</t>
        </is>
      </c>
      <c r="B14" s="84" t="inlineStr">
        <is>
          <t>엑셀=원천, PPT는 완성 엑셀만 읽음(PDF→엑셀→PPT). 제출 전 렌더검수 통과한 것만.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style="82" min="2" max="2"/>
    <col width="40" customWidth="1" style="82" min="4" max="4"/>
    <col width="12" customWidth="1" style="82" min="5" max="5"/>
  </cols>
  <sheetData>
    <row r="1">
      <c r="A1" t="inlineStr">
        <is>
          <t>김진구 · 자동분석 2026.07.02</t>
        </is>
      </c>
    </row>
    <row r="3">
      <c r="A3" t="inlineStr">
        <is>
          <t>계약수</t>
        </is>
      </c>
      <c r="B3" t="n">
        <v>6</v>
      </c>
    </row>
    <row r="4">
      <c r="A4" t="inlineStr">
        <is>
          <t>월보험료합계</t>
        </is>
      </c>
      <c r="B4" t="inlineStr">
        <is>
          <t>324,470원</t>
        </is>
      </c>
    </row>
    <row r="6">
      <c r="A6" t="inlineStr">
        <is>
          <t>[확인] 자동매핑 실패 담보 (마스터 미수록 또는 약관 확인 후 수기 기재)</t>
        </is>
      </c>
    </row>
    <row r="7">
      <c r="A7" t="inlineStr">
        <is>
          <t>회사</t>
        </is>
      </c>
      <c r="B7" t="inlineStr">
        <is>
          <t>담보명</t>
        </is>
      </c>
      <c r="C7" t="inlineStr">
        <is>
          <t>금액(만원)</t>
        </is>
      </c>
      <c r="D7" t="inlineStr">
        <is>
          <t>보장범위(참고)</t>
        </is>
      </c>
      <c r="E7" t="inlineStr">
        <is>
          <t>약관검색</t>
        </is>
      </c>
    </row>
    <row r="8">
      <c r="A8" t="inlineStr">
        <is>
          <t>교보생명</t>
        </is>
      </c>
      <c r="B8" t="inlineStr">
        <is>
          <t>CI추가보장특약(잔여)</t>
        </is>
      </c>
      <c r="C8" t="n">
        <v>200</v>
      </c>
      <c r="D8" t="inlineStr">
        <is>
          <t>급성심근 초과분 외 잔여 → 약관 확인</t>
        </is>
      </c>
      <c r="E8" s="193" t="inlineStr">
        <is>
          <t>🔗약관검색</t>
        </is>
      </c>
    </row>
    <row r="9">
      <c r="A9" t="inlineStr">
        <is>
          <t>교보생명</t>
        </is>
      </c>
      <c r="B9" t="inlineStr">
        <is>
          <t>재해상해특약2형</t>
        </is>
      </c>
      <c r="C9" t="n">
        <v>2000</v>
      </c>
      <c r="D9" t="inlineStr"/>
      <c r="E9" s="193" t="inlineStr">
        <is>
          <t>🔗약관검색</t>
        </is>
      </c>
    </row>
    <row r="10">
      <c r="A10" t="inlineStr">
        <is>
          <t>교보생명</t>
        </is>
      </c>
      <c r="B10" t="inlineStr">
        <is>
          <t>남성건강치료특약</t>
        </is>
      </c>
      <c r="C10" t="n">
        <v>3005</v>
      </c>
      <c r="D10" t="inlineStr"/>
      <c r="E10" s="193" t="inlineStr">
        <is>
          <t>🔗약관검색</t>
        </is>
      </c>
    </row>
    <row r="11">
      <c r="A11" t="inlineStr">
        <is>
          <t>교보생명</t>
        </is>
      </c>
      <c r="B11" t="inlineStr">
        <is>
          <t>재해치료비특약</t>
        </is>
      </c>
      <c r="C11" t="n">
        <v>122</v>
      </c>
      <c r="D11" t="inlineStr"/>
      <c r="E11" s="193" t="inlineStr">
        <is>
          <t>🔗약관검색</t>
        </is>
      </c>
    </row>
    <row r="12">
      <c r="A12" t="inlineStr">
        <is>
          <t>동양생명</t>
        </is>
      </c>
      <c r="B12" t="inlineStr">
        <is>
          <t>[Q9]방사선항암약물치료(소액암)_(무)방사선항암약물치료특약F(A1)(표준형-본인)-종신</t>
        </is>
      </c>
      <c r="C12" t="n">
        <v>20</v>
      </c>
      <c r="D12" t="inlineStr"/>
      <c r="E12" s="193" t="inlineStr">
        <is>
          <t>🔗약관검색</t>
        </is>
      </c>
    </row>
    <row r="13">
      <c r="A13" t="inlineStr">
        <is>
          <t>DB손보</t>
        </is>
      </c>
      <c r="B13" t="inlineStr">
        <is>
          <t>자동차사고치아보철지원금</t>
        </is>
      </c>
      <c r="C13" t="n">
        <v>50</v>
      </c>
      <c r="D13" t="inlineStr"/>
      <c r="E13" s="193" t="inlineStr">
        <is>
          <t>🔗약관검색</t>
        </is>
      </c>
    </row>
    <row r="14">
      <c r="A14" t="inlineStr">
        <is>
          <t>DB손보</t>
        </is>
      </c>
      <c r="B14" t="inlineStr">
        <is>
          <t>자동차사고성형수술비</t>
        </is>
      </c>
      <c r="C14" t="n">
        <v>200</v>
      </c>
      <c r="D14" t="inlineStr"/>
      <c r="E14" s="193" t="inlineStr">
        <is>
          <t>🔗약관검색</t>
        </is>
      </c>
    </row>
    <row r="15">
      <c r="A15" t="inlineStr">
        <is>
          <t>DB손보</t>
        </is>
      </c>
      <c r="B15" t="inlineStr">
        <is>
          <t>자동차부상치료비(1~5급)</t>
        </is>
      </c>
      <c r="C15" t="n">
        <v>100</v>
      </c>
      <c r="D15" t="inlineStr"/>
      <c r="E15" s="193" t="inlineStr">
        <is>
          <t>🔗약관검색</t>
        </is>
      </c>
    </row>
    <row r="16">
      <c r="A16" t="inlineStr">
        <is>
          <t>DB손보</t>
        </is>
      </c>
      <c r="B16" t="inlineStr">
        <is>
          <t>가족동승자동차부상치료비Ⅲ(1-14급,자가용운전자용,최대5인)</t>
        </is>
      </c>
      <c r="C16" t="n">
        <v>150</v>
      </c>
      <c r="D16" t="inlineStr"/>
      <c r="E16" s="193" t="inlineStr">
        <is>
          <t>🔗약관검색</t>
        </is>
      </c>
    </row>
    <row r="20">
      <c r="A20" t="inlineStr">
        <is>
          <t>[근거] 실손 세대 판정 (가입일 vs 상품코드 — 상품코드 우선)</t>
        </is>
      </c>
    </row>
    <row r="21">
      <c r="A21" t="inlineStr">
        <is>
          <t>회사</t>
        </is>
      </c>
      <c r="B21" t="inlineStr">
        <is>
          <t>가입일</t>
        </is>
      </c>
      <c r="C21" t="inlineStr">
        <is>
          <t>상품코드(YYMM)</t>
        </is>
      </c>
      <c r="D21" t="inlineStr">
        <is>
          <t>판정</t>
        </is>
      </c>
    </row>
    <row r="22">
      <c r="A22" t="inlineStr">
        <is>
          <t>교보생명</t>
        </is>
      </c>
      <c r="B22" t="inlineStr">
        <is>
          <t>2008.08.07</t>
        </is>
      </c>
      <c r="C22" t="inlineStr">
        <is>
          <t>없음</t>
        </is>
      </c>
      <c r="D22" t="inlineStr">
        <is>
          <t>1세대(구형)</t>
        </is>
      </c>
    </row>
    <row r="24">
      <c r="A24" t="inlineStr">
        <is>
          <t>[근거] 심장 블록 기재 내역 (원 담보명 → 기재 행) — 별첨 원문 그대로</t>
        </is>
      </c>
    </row>
    <row r="25">
      <c r="A25" t="inlineStr">
        <is>
          <t>회사</t>
        </is>
      </c>
      <c r="B25" t="inlineStr">
        <is>
          <t>별첨 원 담보명</t>
        </is>
      </c>
      <c r="C25" t="inlineStr">
        <is>
          <t>기재 행</t>
        </is>
      </c>
      <c r="D25" t="inlineStr">
        <is>
          <t>금액(만원)</t>
        </is>
      </c>
    </row>
    <row r="26">
      <c r="A26" t="inlineStr">
        <is>
          <t>동양생명</t>
        </is>
      </c>
      <c r="B26" t="inlineStr">
        <is>
          <t>[C8]허혈심장질환진단_(무)허혈심장질환진단특약A1_일반심사_표준형_본인형_종신</t>
        </is>
      </c>
      <c r="C26" t="inlineStr">
        <is>
          <t>허혈성 진단비</t>
        </is>
      </c>
      <c r="D26" t="n">
        <v>1000</v>
      </c>
    </row>
    <row r="27">
      <c r="A27" t="inlineStr">
        <is>
          <t>동양생명</t>
        </is>
      </c>
      <c r="B27" t="inlineStr">
        <is>
          <t>[A07]허혈심장수술_(무)허혈심장질환수술보장특약A1(최초1회한)(일반심사형) 표준형-종신</t>
        </is>
      </c>
      <c r="C27" t="inlineStr">
        <is>
          <t>허혈성수술비</t>
        </is>
      </c>
      <c r="D27" t="n">
        <v>1000</v>
      </c>
    </row>
    <row r="28">
      <c r="A28" t="inlineStr">
        <is>
          <t>동양생명</t>
        </is>
      </c>
      <c r="B28" t="inlineStr">
        <is>
          <t>[Q8]특정심혈관질환_(무)기타심장부정맥진단특약A1(일반심사형)표준형-종신</t>
        </is>
      </c>
      <c r="C28" t="inlineStr">
        <is>
          <t>부정맥</t>
        </is>
      </c>
      <c r="D28" t="n">
        <v>1000</v>
      </c>
    </row>
    <row r="29">
      <c r="A29" t="inlineStr">
        <is>
          <t>흥국화재</t>
        </is>
      </c>
      <c r="B29" t="inlineStr">
        <is>
          <t>허혈성심질환진단비</t>
        </is>
      </c>
      <c r="C29" t="inlineStr">
        <is>
          <t>허혈성 진단비</t>
        </is>
      </c>
      <c r="D29" t="n">
        <v>1000</v>
      </c>
    </row>
    <row r="30">
      <c r="A30" t="inlineStr">
        <is>
          <t>흥국화재</t>
        </is>
      </c>
      <c r="B30" t="inlineStr">
        <is>
          <t>허혈성심질환수술비</t>
        </is>
      </c>
      <c r="C30" t="inlineStr">
        <is>
          <t>허혈성수술비</t>
        </is>
      </c>
      <c r="D30" t="n">
        <v>1000</v>
      </c>
    </row>
  </sheetData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2022-06-08T10:29:30Z</dcterms:created>
  <dcterms:modified xmlns:dcterms="http://purl.org/dc/terms/" xmlns:xsi="http://www.w3.org/2001/XMLSchema-instance" xsi:type="dcterms:W3CDTF">2026-07-02T22:59:56Z</dcterms:modified>
  <cp:lastModifiedBy>Windows</cp:lastModifiedBy>
  <cp:revision>0</cp:revision>
  <cp:lastPrinted>2026-05-12T16:05:05Z</cp:lastPrinted>
</cp:coreProperties>
</file>