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016" tabRatio="500" firstSheet="0" activeTab="0" autoFilterDateGrouping="1"/>
  </bookViews>
  <sheets>
    <sheet xmlns:r="http://schemas.openxmlformats.org/officeDocument/2006/relationships" name="보장분석" sheetId="1" state="visible" r:id="rId1"/>
    <sheet xmlns:r="http://schemas.openxmlformats.org/officeDocument/2006/relationships" name="법칙" sheetId="2" state="visible" r:id="rId2"/>
    <sheet xmlns:r="http://schemas.openxmlformats.org/officeDocument/2006/relationships" name="📋확인사항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_-* #,##0_-;\-* #,##0_-;_-* \-_-;_-@_-"/>
  </numFmts>
  <fonts count="17">
    <font>
      <name val="맑은 고딕"/>
      <charset val="129"/>
      <family val="3"/>
      <color rgb="FF000000"/>
      <sz val="11"/>
    </font>
    <font>
      <name val="Noto Sans CJK SC"/>
      <charset val="1"/>
      <family val="2"/>
      <b val="1"/>
      <sz val="16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b val="1"/>
      <color rgb="FFFFFFFF"/>
      <sz val="14"/>
    </font>
    <font>
      <name val="Noto Sans CJK SC"/>
      <charset val="1"/>
      <family val="2"/>
      <b val="1"/>
      <color rgb="FF000000"/>
      <sz val="9"/>
    </font>
    <font>
      <name val="맑은 고딕"/>
      <charset val="129"/>
      <family val="3"/>
      <b val="1"/>
      <color rgb="FF000000"/>
      <sz val="9"/>
    </font>
    <font>
      <name val="Noto Sans CJK SC"/>
      <charset val="1"/>
      <family val="2"/>
      <b val="1"/>
      <color rgb="FF000000"/>
      <sz val="8"/>
    </font>
    <font>
      <name val="맑은 고딕"/>
      <charset val="129"/>
      <family val="3"/>
      <b val="1"/>
      <color rgb="FF000000"/>
      <sz val="8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00FF"/>
      <sz val="9"/>
    </font>
    <font>
      <name val="Noto Sans CJK SC"/>
      <family val="2"/>
      <b val="1"/>
      <sz val="13"/>
    </font>
    <font>
      <name val="Noto Sans CJK SC"/>
      <family val="2"/>
      <color rgb="FF000000"/>
      <sz val="11"/>
    </font>
    <font>
      <name val="맑은 고딕"/>
      <charset val="129"/>
      <family val="3"/>
      <sz val="8"/>
    </font>
    <font>
      <name val="맑은 고딕"/>
      <b val="1"/>
      <color rgb="00FFFFFF"/>
      <sz val="9"/>
    </font>
    <font>
      <name val="맑은 고딕"/>
      <color rgb="00000000"/>
      <sz val="9"/>
    </font>
    <font>
      <name val="맑은 고딕"/>
      <color rgb="000070C0"/>
      <sz val="9"/>
    </font>
    <font>
      <color rgb="000000FF"/>
      <u val="single"/>
    </font>
  </fonts>
  <fills count="11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0000FF"/>
        <bgColor rgb="FF0000FF"/>
      </patternFill>
    </fill>
    <fill>
      <patternFill patternType="solid">
        <fgColor rgb="FF00CCFF"/>
        <bgColor rgb="FF33CCCC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00C00000"/>
      </patternFill>
    </fill>
    <fill>
      <patternFill patternType="solid">
        <fgColor rgb="002E75B6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 applyAlignment="1">
      <alignment vertical="center"/>
    </xf>
  </cellStyleXfs>
  <cellXfs count="191">
    <xf numFmtId="0" fontId="0" fillId="0" borderId="0" applyAlignment="1" pivotButton="0" quotePrefix="0" xfId="0">
      <alignment vertical="center"/>
    </xf>
    <xf numFmtId="164" fontId="2" fillId="3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164" fontId="5" fillId="2" borderId="5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4" fontId="7" fillId="2" borderId="8" applyAlignment="1" pivotButton="0" quotePrefix="0" xfId="0">
      <alignment horizontal="center" vertical="center"/>
    </xf>
    <xf numFmtId="164" fontId="5" fillId="6" borderId="9" applyAlignment="1" pivotButton="0" quotePrefix="0" xfId="0">
      <alignment horizontal="center" vertical="center"/>
    </xf>
    <xf numFmtId="164" fontId="7" fillId="2" borderId="10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164" fontId="5" fillId="6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" vertical="center"/>
    </xf>
    <xf numFmtId="164" fontId="5" fillId="8" borderId="15" applyAlignment="1" pivotButton="0" quotePrefix="0" xfId="0">
      <alignment horizontal="center" vertical="center"/>
    </xf>
    <xf numFmtId="164" fontId="5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164" fontId="5" fillId="8" borderId="18" applyAlignment="1" pivotButton="0" quotePrefix="0" xfId="0">
      <alignment horizontal="center" vertical="center"/>
    </xf>
    <xf numFmtId="164" fontId="5" fillId="8" borderId="19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/>
    </xf>
    <xf numFmtId="164" fontId="5" fillId="6" borderId="19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6" borderId="21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164" fontId="5" fillId="2" borderId="22" applyAlignment="1" pivotButton="0" quotePrefix="0" xfId="0">
      <alignment horizontal="center" vertical="center"/>
    </xf>
    <xf numFmtId="164" fontId="5" fillId="6" borderId="2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164" fontId="5" fillId="2" borderId="15" applyAlignment="1" pivotButton="0" quotePrefix="0" xfId="0">
      <alignment horizontal="center" vertical="center"/>
    </xf>
    <xf numFmtId="164" fontId="5" fillId="6" borderId="16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164" fontId="5" fillId="2" borderId="24" applyAlignment="1" pivotButton="0" quotePrefix="0" xfId="0">
      <alignment horizontal="center" vertical="center"/>
    </xf>
    <xf numFmtId="164" fontId="5" fillId="6" borderId="25" applyAlignment="1" pivotButton="0" quotePrefix="0" xfId="0">
      <alignment horizontal="center" vertical="center"/>
    </xf>
    <xf numFmtId="0" fontId="4" fillId="2" borderId="26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164" fontId="5" fillId="6" borderId="27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0" fontId="4" fillId="8" borderId="11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5" fillId="2" borderId="10" applyAlignment="1" pivotButton="0" quotePrefix="0" xfId="0">
      <alignment horizontal="center" vertical="center"/>
    </xf>
    <xf numFmtId="0" fontId="4" fillId="8" borderId="31" applyAlignment="1" pivotButton="0" quotePrefix="0" xfId="0">
      <alignment horizontal="center" vertical="center"/>
    </xf>
    <xf numFmtId="164" fontId="5" fillId="8" borderId="32" applyAlignment="1" pivotButton="0" quotePrefix="0" xfId="0">
      <alignment horizontal="center" vertical="center"/>
    </xf>
    <xf numFmtId="164" fontId="5" fillId="8" borderId="27" applyAlignment="1" pivotButton="0" quotePrefix="0" xfId="0">
      <alignment horizontal="center" vertical="center"/>
    </xf>
    <xf numFmtId="0" fontId="4" fillId="8" borderId="33" applyAlignment="1" pivotButton="0" quotePrefix="0" xfId="0">
      <alignment horizontal="center" vertical="center"/>
    </xf>
    <xf numFmtId="164" fontId="5" fillId="8" borderId="23" applyAlignment="1" pivotButton="0" quotePrefix="0" xfId="0">
      <alignment horizontal="center" vertical="center"/>
    </xf>
    <xf numFmtId="0" fontId="4" fillId="2" borderId="3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5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164" fontId="5" fillId="2" borderId="37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7" borderId="38" applyAlignment="1" pivotButton="0" quotePrefix="0" xfId="0">
      <alignment horizontal="center" vertical="center"/>
    </xf>
    <xf numFmtId="164" fontId="5" fillId="2" borderId="28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5" fillId="2" borderId="39" applyAlignment="1" pivotButton="0" quotePrefix="0" xfId="0">
      <alignment horizontal="center" vertical="center"/>
    </xf>
    <xf numFmtId="164" fontId="5" fillId="2" borderId="40" applyAlignment="1" pivotButton="0" quotePrefix="0" xfId="0">
      <alignment horizontal="center" vertical="center"/>
    </xf>
    <xf numFmtId="164" fontId="5" fillId="6" borderId="41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5" fillId="2" borderId="24" applyAlignment="1" pivotButton="0" quotePrefix="0" xfId="0">
      <alignment horizontal="center" vertical="center"/>
    </xf>
    <xf numFmtId="0" fontId="4" fillId="7" borderId="43" applyAlignment="1" pivotButton="0" quotePrefix="0" xfId="0">
      <alignment horizontal="center" vertical="center"/>
    </xf>
    <xf numFmtId="164" fontId="9" fillId="7" borderId="28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164" fontId="9" fillId="2" borderId="28" applyAlignment="1" pivotButton="0" quotePrefix="0" xfId="0">
      <alignment horizontal="center" vertical="center"/>
    </xf>
    <xf numFmtId="164" fontId="9" fillId="7" borderId="24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5" fillId="2" borderId="44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164" fontId="5" fillId="2" borderId="12" applyAlignment="1" pivotButton="0" quotePrefix="0" xfId="0">
      <alignment horizontal="center" vertical="center"/>
    </xf>
    <xf numFmtId="164" fontId="9" fillId="2" borderId="15" applyAlignment="1" pivotButton="0" quotePrefix="0" xfId="0">
      <alignment horizontal="center" vertical="center"/>
    </xf>
    <xf numFmtId="164" fontId="9" fillId="2" borderId="24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5" fillId="6" borderId="45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48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38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6" pivotButton="0" quotePrefix="0" xfId="0"/>
    <xf numFmtId="0" fontId="4" fillId="7" borderId="43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0" fillId="0" borderId="24" pivotButton="0" quotePrefix="0" xfId="0"/>
    <xf numFmtId="0" fontId="4" fillId="2" borderId="4" applyAlignment="1" pivotButton="0" quotePrefix="0" xfId="0">
      <alignment horizontal="center" vertical="center"/>
    </xf>
    <xf numFmtId="0" fontId="0" fillId="0" borderId="15" pivotButton="0" quotePrefix="0" xfId="0"/>
    <xf numFmtId="0" fontId="6" fillId="2" borderId="11" applyAlignment="1" pivotButton="0" quotePrefix="0" xfId="0">
      <alignment horizontal="center" vertical="center"/>
    </xf>
    <xf numFmtId="0" fontId="0" fillId="0" borderId="22" pivotButton="0" quotePrefix="0" xfId="0"/>
    <xf numFmtId="0" fontId="4" fillId="7" borderId="38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/>
    </xf>
    <xf numFmtId="164" fontId="5" fillId="2" borderId="5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4" fontId="7" fillId="2" borderId="8" applyAlignment="1" pivotButton="0" quotePrefix="0" xfId="0">
      <alignment horizontal="center" vertical="center"/>
    </xf>
    <xf numFmtId="164" fontId="5" fillId="6" borderId="9" applyAlignment="1" pivotButton="0" quotePrefix="0" xfId="0">
      <alignment horizontal="center" vertical="center"/>
    </xf>
    <xf numFmtId="164" fontId="7" fillId="2" borderId="10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164" fontId="5" fillId="6" borderId="13" applyAlignment="1" pivotButton="0" quotePrefix="0" xfId="0">
      <alignment horizontal="center" vertical="center"/>
    </xf>
    <xf numFmtId="164" fontId="5" fillId="8" borderId="15" applyAlignment="1" pivotButton="0" quotePrefix="0" xfId="0">
      <alignment horizontal="center" vertical="center"/>
    </xf>
    <xf numFmtId="164" fontId="5" fillId="8" borderId="16" applyAlignment="1" pivotButton="0" quotePrefix="0" xfId="0">
      <alignment horizontal="center" vertical="center"/>
    </xf>
    <xf numFmtId="164" fontId="5" fillId="8" borderId="18" applyAlignment="1" pivotButton="0" quotePrefix="0" xfId="0">
      <alignment horizontal="center" vertical="center"/>
    </xf>
    <xf numFmtId="164" fontId="5" fillId="8" borderId="19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/>
    </xf>
    <xf numFmtId="164" fontId="5" fillId="6" borderId="19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6" borderId="21" applyAlignment="1" pivotButton="0" quotePrefix="0" xfId="0">
      <alignment horizontal="center" vertical="center"/>
    </xf>
    <xf numFmtId="164" fontId="5" fillId="2" borderId="22" applyAlignment="1" pivotButton="0" quotePrefix="0" xfId="0">
      <alignment horizontal="center" vertical="center"/>
    </xf>
    <xf numFmtId="164" fontId="5" fillId="6" borderId="23" applyAlignment="1" pivotButton="0" quotePrefix="0" xfId="0">
      <alignment horizontal="center" vertical="center"/>
    </xf>
    <xf numFmtId="164" fontId="5" fillId="2" borderId="15" applyAlignment="1" pivotButton="0" quotePrefix="0" xfId="0">
      <alignment horizontal="center" vertical="center"/>
    </xf>
    <xf numFmtId="164" fontId="5" fillId="6" borderId="16" applyAlignment="1" pivotButton="0" quotePrefix="0" xfId="0">
      <alignment horizontal="center" vertical="center"/>
    </xf>
    <xf numFmtId="164" fontId="5" fillId="2" borderId="24" applyAlignment="1" pivotButton="0" quotePrefix="0" xfId="0">
      <alignment horizontal="center" vertical="center"/>
    </xf>
    <xf numFmtId="164" fontId="5" fillId="6" borderId="25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164" fontId="5" fillId="6" borderId="27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5" fillId="2" borderId="10" applyAlignment="1" pivotButton="0" quotePrefix="0" xfId="0">
      <alignment horizontal="center" vertical="center"/>
    </xf>
    <xf numFmtId="164" fontId="5" fillId="8" borderId="32" applyAlignment="1" pivotButton="0" quotePrefix="0" xfId="0">
      <alignment horizontal="center" vertical="center"/>
    </xf>
    <xf numFmtId="164" fontId="5" fillId="8" borderId="27" applyAlignment="1" pivotButton="0" quotePrefix="0" xfId="0">
      <alignment horizontal="center" vertical="center"/>
    </xf>
    <xf numFmtId="164" fontId="5" fillId="8" borderId="23" applyAlignment="1" pivotButton="0" quotePrefix="0" xfId="0">
      <alignment horizontal="center" vertical="center"/>
    </xf>
    <xf numFmtId="164" fontId="5" fillId="2" borderId="35" applyAlignment="1" pivotButton="0" quotePrefix="0" xfId="0">
      <alignment horizontal="center" vertical="center"/>
    </xf>
    <xf numFmtId="164" fontId="5" fillId="2" borderId="37" applyAlignment="1" pivotButton="0" quotePrefix="0" xfId="0">
      <alignment horizontal="center" vertical="center"/>
    </xf>
    <xf numFmtId="164" fontId="5" fillId="2" borderId="28" applyAlignment="1" pivotButton="0" quotePrefix="0" xfId="0">
      <alignment horizontal="center" vertical="center"/>
    </xf>
    <xf numFmtId="164" fontId="9" fillId="7" borderId="28" applyAlignment="1" pivotButton="0" quotePrefix="0" xfId="0">
      <alignment horizontal="center" vertical="center"/>
    </xf>
    <xf numFmtId="164" fontId="9" fillId="2" borderId="28" applyAlignment="1" pivotButton="0" quotePrefix="0" xfId="0">
      <alignment horizontal="center" vertical="center"/>
    </xf>
    <xf numFmtId="164" fontId="9" fillId="7" borderId="24" applyAlignment="1" pivotButton="0" quotePrefix="0" xfId="0">
      <alignment horizontal="center" vertical="center"/>
    </xf>
    <xf numFmtId="164" fontId="5" fillId="2" borderId="40" applyAlignment="1" pivotButton="0" quotePrefix="0" xfId="0">
      <alignment horizontal="center" vertical="center"/>
    </xf>
    <xf numFmtId="164" fontId="5" fillId="6" borderId="41" applyAlignment="1" pivotButton="0" quotePrefix="0" xfId="0">
      <alignment horizontal="center" vertical="center"/>
    </xf>
    <xf numFmtId="164" fontId="5" fillId="2" borderId="12" applyAlignment="1" pivotButton="0" quotePrefix="0" xfId="0">
      <alignment horizontal="center" vertical="center"/>
    </xf>
    <xf numFmtId="164" fontId="9" fillId="2" borderId="15" applyAlignment="1" pivotButton="0" quotePrefix="0" xfId="0">
      <alignment horizontal="center" vertical="center"/>
    </xf>
    <xf numFmtId="164" fontId="9" fillId="2" borderId="24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5" fillId="6" borderId="45" applyAlignment="1" pivotButton="0" quotePrefix="0" xfId="0">
      <alignment horizontal="center" vertical="center"/>
    </xf>
    <xf numFmtId="0" fontId="4" fillId="7" borderId="51" applyAlignment="1" pivotButton="0" quotePrefix="0" xfId="0">
      <alignment horizontal="center" vertical="center"/>
    </xf>
    <xf numFmtId="0" fontId="0" fillId="0" borderId="51" pivotButton="0" quotePrefix="0" xfId="0"/>
    <xf numFmtId="0" fontId="4" fillId="7" borderId="52" applyAlignment="1" pivotButton="0" quotePrefix="0" xfId="0">
      <alignment horizontal="center" vertical="center"/>
    </xf>
    <xf numFmtId="0" fontId="0" fillId="0" borderId="52" pivotButton="0" quotePrefix="0" xfId="0"/>
    <xf numFmtId="0" fontId="1" fillId="2" borderId="53" applyAlignment="1" pivotButton="0" quotePrefix="0" xfId="0">
      <alignment horizontal="center" vertical="center"/>
    </xf>
    <xf numFmtId="0" fontId="0" fillId="0" borderId="54" pivotButton="0" quotePrefix="0" xfId="0"/>
    <xf numFmtId="164" fontId="13" fillId="9" borderId="54" applyAlignment="1" pivotButton="0" quotePrefix="0" xfId="0">
      <alignment horizontal="center" vertical="center" wrapText="1"/>
    </xf>
    <xf numFmtId="164" fontId="13" fillId="10" borderId="55" applyAlignment="1" pivotButton="0" quotePrefix="0" xfId="0">
      <alignment horizontal="center" vertical="center" wrapText="1"/>
    </xf>
    <xf numFmtId="0" fontId="4" fillId="2" borderId="56" applyAlignment="1" pivotButton="0" quotePrefix="0" xfId="0">
      <alignment horizontal="center" vertical="center"/>
    </xf>
    <xf numFmtId="0" fontId="0" fillId="0" borderId="57" pivotButton="0" quotePrefix="0" xfId="0"/>
    <xf numFmtId="3" fontId="14" fillId="0" borderId="57" applyAlignment="1" pivotButton="0" quotePrefix="0" xfId="0">
      <alignment horizontal="center" vertical="center"/>
    </xf>
    <xf numFmtId="3" fontId="14" fillId="0" borderId="58" applyAlignment="1" pivotButton="0" quotePrefix="0" xfId="0">
      <alignment horizontal="center" vertical="center"/>
    </xf>
    <xf numFmtId="0" fontId="6" fillId="2" borderId="56" applyAlignment="1" pivotButton="0" quotePrefix="0" xfId="0">
      <alignment horizontal="center" vertical="center"/>
    </xf>
    <xf numFmtId="164" fontId="14" fillId="0" borderId="57" applyAlignment="1" pivotButton="0" quotePrefix="0" xfId="0">
      <alignment horizontal="center" vertical="center"/>
    </xf>
    <xf numFmtId="164" fontId="7" fillId="0" borderId="58" applyAlignment="1" pivotButton="0" quotePrefix="0" xfId="0">
      <alignment horizontal="center" vertical="center"/>
    </xf>
    <xf numFmtId="164" fontId="8" fillId="0" borderId="58" applyAlignment="1" pivotButton="0" quotePrefix="0" xfId="0">
      <alignment horizontal="center" vertical="center"/>
    </xf>
    <xf numFmtId="0" fontId="4" fillId="7" borderId="59" applyAlignment="1" pivotButton="0" quotePrefix="0" xfId="0">
      <alignment horizontal="center" vertical="center"/>
    </xf>
    <xf numFmtId="0" fontId="4" fillId="8" borderId="60" applyAlignment="1" pivotButton="0" quotePrefix="0" xfId="0">
      <alignment horizontal="center" vertical="center"/>
    </xf>
    <xf numFmtId="164" fontId="5" fillId="0" borderId="60" applyAlignment="1" pivotButton="0" quotePrefix="0" xfId="0">
      <alignment horizontal="center" vertical="center"/>
    </xf>
    <xf numFmtId="3" fontId="14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4" fillId="8" borderId="63" applyAlignment="1" pivotButton="0" quotePrefix="0" xfId="0">
      <alignment horizontal="center" vertical="center"/>
    </xf>
    <xf numFmtId="164" fontId="5" fillId="0" borderId="63" applyAlignment="1" pivotButton="0" quotePrefix="0" xfId="0">
      <alignment horizontal="center" vertical="center"/>
    </xf>
    <xf numFmtId="3" fontId="14" fillId="0" borderId="64" applyAlignment="1" pivotButton="0" quotePrefix="0" xfId="0">
      <alignment horizontal="center" vertical="center"/>
    </xf>
    <xf numFmtId="0" fontId="4" fillId="2" borderId="63" applyAlignment="1" pivotButton="0" quotePrefix="0" xfId="0">
      <alignment horizontal="center" vertical="center"/>
    </xf>
    <xf numFmtId="0" fontId="0" fillId="0" borderId="56" pivotButton="0" quotePrefix="0" xfId="0"/>
    <xf numFmtId="0" fontId="4" fillId="2" borderId="57" applyAlignment="1" pivotButton="0" quotePrefix="0" xfId="0">
      <alignment horizontal="center" vertical="center"/>
    </xf>
    <xf numFmtId="164" fontId="5" fillId="0" borderId="57" applyAlignment="1" pivotButton="0" quotePrefix="0" xfId="0">
      <alignment horizontal="center" vertical="center"/>
    </xf>
    <xf numFmtId="0" fontId="4" fillId="7" borderId="62" applyAlignment="1" pivotButton="0" quotePrefix="0" xfId="0">
      <alignment horizontal="center" vertical="center"/>
    </xf>
    <xf numFmtId="3" fontId="14" fillId="0" borderId="63" applyAlignment="1" pivotButton="0" quotePrefix="0" xfId="0">
      <alignment horizontal="center" vertical="center"/>
    </xf>
    <xf numFmtId="3" fontId="15" fillId="0" borderId="63" applyAlignment="1" pivotButton="0" quotePrefix="0" xfId="0">
      <alignment horizontal="center" vertical="center"/>
    </xf>
    <xf numFmtId="164" fontId="9" fillId="0" borderId="63" applyAlignment="1" pivotButton="0" quotePrefix="0" xfId="0">
      <alignment horizontal="center" vertical="center"/>
    </xf>
    <xf numFmtId="0" fontId="0" fillId="0" borderId="63" pivotButton="0" quotePrefix="0" xfId="0"/>
    <xf numFmtId="3" fontId="14" fillId="0" borderId="64" pivotButton="0" quotePrefix="0" xfId="0"/>
    <xf numFmtId="0" fontId="5" fillId="2" borderId="63" applyAlignment="1" pivotButton="0" quotePrefix="0" xfId="0">
      <alignment horizontal="center" vertical="center"/>
    </xf>
    <xf numFmtId="0" fontId="4" fillId="8" borderId="57" applyAlignment="1" pivotButton="0" quotePrefix="0" xfId="0">
      <alignment horizontal="center" vertical="center"/>
    </xf>
    <xf numFmtId="0" fontId="0" fillId="0" borderId="59" pivotButton="0" quotePrefix="0" xfId="0"/>
    <xf numFmtId="0" fontId="4" fillId="2" borderId="60" applyAlignment="1" pivotButton="0" quotePrefix="0" xfId="0">
      <alignment horizontal="center" vertical="center"/>
    </xf>
    <xf numFmtId="3" fontId="14" fillId="0" borderId="60" applyAlignment="1" pivotButton="0" quotePrefix="0" xfId="0">
      <alignment horizontal="center" vertical="center"/>
    </xf>
    <xf numFmtId="0" fontId="5" fillId="2" borderId="57" applyAlignment="1" pivotButton="0" quotePrefix="0" xfId="0">
      <alignment horizontal="center" vertical="center"/>
    </xf>
    <xf numFmtId="0" fontId="4" fillId="7" borderId="56" applyAlignment="1" pivotButton="0" quotePrefix="0" xfId="0">
      <alignment horizontal="center" vertical="center"/>
    </xf>
    <xf numFmtId="3" fontId="15" fillId="0" borderId="57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earch.naver.com/search.naver?query=%EB%A9%94%EB%A6%AC%EC%B8%A0%ED%99%94%EC%9E%AC%20%EB%AC%B4%EB%B0%B0%EB%8B%B9%20%EB%82%B4%21%EC%9D%B40171%EA%B0%99%EC%9D%80%20%EC%96%B4%EB%A6%B0%EC%9D%B4%EB%B3%B4%20%EC%86%8C%EC%95%84%EB%B0%B1%ED%98%88%EB%B3%91%EC%A7%84%EB%8B%A8%EB%B9%84%20%EC%95%BD%EA%B4%80%20%EB%B3%B4%EC%9E%A5%EB%82%B4%EC%9A%A9" TargetMode="External" Id="rId1"/><Relationship Type="http://schemas.openxmlformats.org/officeDocument/2006/relationships/hyperlink" Target="https://search.naver.com/search.naver?query=%EB%A9%94%EB%A6%AC%EC%B8%A0%ED%99%94%EC%9E%AC%20%EB%AC%B4%EB%B0%B0%EB%8B%B9%20%EB%82%B4%21%EC%9D%B40171%EA%B0%99%EC%9D%80%20%EC%96%B4%EB%A6%B0%EC%9D%B4%EB%B3%B4%20%EC%8B%AC%EC%9E%A5%EA%B4%80%EB%A0%A8%EC%86%8C%EC%95%84%ED%8A%B9%EC%A0%95%EC%A7%88%EB%B3%91%EC%A7%84%EB%8B%A8%20%EC%95%BD%EA%B4%80%20%EB%B3%B4%EC%9E%A5%EB%82%B4%EC%9A%A9" TargetMode="External" Id="rId2"/><Relationship Type="http://schemas.openxmlformats.org/officeDocument/2006/relationships/hyperlink" Target="https://search.naver.com/search.naver?query=%EB%A9%94%EB%A6%AC%EC%B8%A0%ED%99%94%EC%9E%AC%20%EB%AC%B4%EB%B0%B0%EB%8B%B9%20%EB%82%B4%21%EC%9D%B40171%EA%B0%99%EC%9D%80%20%EC%96%B4%EB%A6%B0%EC%9D%B4%EB%B3%B4%20%ED%8A%B9%EC%A0%95%20%EC%A0%84%EC%97%BC%EB%B3%91%EC%B9%98%EB%A3%8C%EB%B9%84%20%EC%95%BD%EA%B4%80%20%EB%B3%B4%EC%9E%A5%EB%82%B4%EC%9A%A9" TargetMode="External" Id="rId3"/><Relationship Type="http://schemas.openxmlformats.org/officeDocument/2006/relationships/hyperlink" Target="https://search.naver.com/search.naver?query=%EB%A9%94%EB%A6%AC%EC%B8%A0%ED%99%94%EC%9E%AC%20%EB%AC%B4%EB%B0%B0%EB%8B%B9%20%EB%82%B4%21%EC%9D%B40171%EA%B0%99%EC%9D%80%20%EC%96%B4%EB%A6%B0%EC%9D%B4%EB%B3%B4%205%EB%8C%80%EA%B3%A0%EC%95%A1%EC%B9%98%EB%A3%8C%EB%B9%84%EC%95%94%EC%A7%84%EB%8B%A8%EB%B9%84%20%EC%95%BD%EA%B4%80%20%EB%B3%B4%EC%9E%A5%EB%82%B4%EC%9A%A9" TargetMode="External" Id="rId4"/><Relationship Type="http://schemas.openxmlformats.org/officeDocument/2006/relationships/hyperlink" Target="https://search.naver.com/search.naver?query=%EB%A9%94%EB%A6%AC%EC%B8%A0%ED%99%94%EC%9E%AC%20%EB%AC%B4%EB%B0%B0%EB%8B%B9%20%EB%82%B4%21%EC%9D%B40171%EA%B0%99%EC%9D%80%20%EC%96%B4%EB%A6%B0%EC%9D%B4%EB%B3%B4%20%EB%8B%A4%EB%B0%9C%EC%84%B1%EC%86%8C%EC%95%84%EC%95%94%EC%A7%84%EB%8B%A8%EB%B9%84%20%EC%95%BD%EA%B4%80%20%EB%B3%B4%EC%9E%A5%EB%82%B4%EC%9A%A9" TargetMode="External" Id="rId5"/><Relationship Type="http://schemas.openxmlformats.org/officeDocument/2006/relationships/hyperlink" Target="https://search.naver.com/search.naver?query=%EB%A9%94%EB%A6%AC%EC%B8%A0%ED%99%94%EC%9E%AC%20%EB%AC%B4%EB%B0%B0%EB%8B%B9%20%EB%82%B4%21%EC%9D%B40171%EA%B0%99%EC%9D%80%20%EC%96%B4%EB%A6%B0%EC%9D%B4%EB%B3%B4%20%EC%83%81%ED%95%B4%ED%9D%89%ED%84%B0%EB%B3%B5%EC%9B%90%EC%88%98%EC%88%A0%EB%B9%84%20%EC%95%BD%EA%B4%80%20%EB%B3%B4%EC%9E%A5%EB%82%B4%EC%9A%A9" TargetMode="External" Id="rId6"/><Relationship Type="http://schemas.openxmlformats.org/officeDocument/2006/relationships/hyperlink" Target="https://search.naver.com/search.naver?query=%EB%A9%94%EB%A6%AC%EC%B8%A0%ED%99%94%EC%9E%AC%20%EB%AC%B4%EB%B0%B0%EB%8B%B9%20%EB%82%B4%21%EC%9D%B40171%EA%B0%99%EC%9D%80%20%EC%96%B4%EB%A6%B0%EC%9D%B4%EB%B3%B4%205%EB%8C%80%EC%9E%A5%EA%B8%B0%EC%9D%B4%EC%8B%9D%EC%88%98%EC%88%A0%EB%B9%84%20%EC%95%BD%EA%B4%80%20%EB%B3%B4%EC%9E%A5%EB%82%B4%EC%9A%A9" TargetMode="External" Id="rId7"/><Relationship Type="http://schemas.openxmlformats.org/officeDocument/2006/relationships/hyperlink" Target="https://search.naver.com/search.naver?query=%EB%A9%94%EB%A6%AC%EC%B8%A0%ED%99%94%EC%9E%AC%20%EB%AC%B4%EB%B0%B0%EB%8B%B9%20%EB%82%B4%21%EC%9D%B40171%EA%B0%99%EC%9D%80%20%EC%96%B4%EB%A6%B0%EC%9D%B4%EB%B3%B4%20%EA%B0%81%EB%A7%89%EC%9D%B4%EC%8B%9D%EC%88%98%EC%88%A0%EB%B9%84%20%EC%95%BD%EA%B4%80%20%EB%B3%B4%EC%9E%A5%EB%82%B4%EC%9A%A9" TargetMode="External" Id="rId8"/><Relationship Type="http://schemas.openxmlformats.org/officeDocument/2006/relationships/hyperlink" Target="https://search.naver.com/search.naver?query=%EB%A9%94%EB%A6%AC%EC%B8%A0%ED%99%94%EC%9E%AC%20%EB%AC%B4%EB%B0%B0%EB%8B%B9%20%EB%82%B4%21%EC%9D%B40171%EA%B0%99%EC%9D%80%20%EC%96%B4%EB%A6%B0%EC%9D%B4%EB%B3%B4%20%EB%AA%A8%EC%95%BC%EB%AA%A8%EC%95%BC%EB%B3%91%EA%B0%9C%EB%91%90%EC%88%98%EC%88%A0%EB%B9%84%20%EC%95%BD%EA%B4%80%20%EB%B3%B4%EC%9E%A5%EB%82%B4%EC%9A%A9" TargetMode="External" Id="rId9"/><Relationship Type="http://schemas.openxmlformats.org/officeDocument/2006/relationships/hyperlink" Target="https://search.naver.com/search.naver?query=%EB%A9%94%EB%A6%AC%EC%B8%A0%ED%99%94%EC%9E%AC%20%EB%AC%B4%EB%B0%B0%EB%8B%B9%20%EB%82%B4%21%EC%9D%B40171%EA%B0%99%EC%9D%80%20%EC%96%B4%EB%A6%B0%EC%9D%B4%EB%B3%B4%20%EC%86%8C%EC%95%84%ED%83%88%EC%9E%A5%EC%88%98%EC%88%A0%EB%B9%84%20%EC%95%BD%EA%B4%80%20%EB%B3%B4%EC%9E%A5%EB%82%B4%EC%9A%A9" TargetMode="External" Id="rId10"/><Relationship Type="http://schemas.openxmlformats.org/officeDocument/2006/relationships/hyperlink" Target="https://search.naver.com/search.naver?query=%EB%A9%94%EB%A6%AC%EC%B8%A0%ED%99%94%EC%9E%AC%20%EB%AC%B4%EB%B0%B0%EB%8B%B9%20%EB%82%B4%21%EC%9D%B40171%EA%B0%99%EC%9D%80%20%EC%96%B4%EB%A6%B0%EC%9D%B4%EB%B3%B4%20%EC%A1%B0%ED%98%88%EB%AA%A8%EC%84%B8%ED%8F%AC%EC%9D%B4%EC%8B%9D%EC%88%98%EC%88%A0%EB%B9%84%20%EC%95%BD%EA%B4%80%20%EB%B3%B4%EC%9E%A5%EB%82%B4%EC%9A%A9" TargetMode="External" Id="rId11"/><Relationship Type="http://schemas.openxmlformats.org/officeDocument/2006/relationships/hyperlink" Target="https://search.naver.com/search.naver?query=%EB%A9%94%EB%A6%AC%EC%B8%A0%ED%99%94%EC%9E%AC%20%EB%AC%B4%EB%B0%B0%EB%8B%B9%20%EB%82%B4%21%EC%9D%B40171%EA%B0%99%EC%9D%80%20%EC%96%B4%EB%A6%B0%EC%9D%B4%EB%B3%B4%20%EC%B6%A9%EC%88%98%EC%97%BC%EC%88%98%EC%88%A0%EB%B9%84%20%EC%95%BD%EA%B4%80%20%EB%B3%B4%EC%9E%A5%EB%82%B4%EC%9A%A9" TargetMode="External" Id="rId12"/><Relationship Type="http://schemas.openxmlformats.org/officeDocument/2006/relationships/hyperlink" Target="https://search.naver.com/search.naver?query=%EB%A9%94%EB%A6%AC%EC%B8%A0%ED%99%94%EC%9E%AC%20%EB%AC%B4%EB%B0%B0%EB%8B%B9%20%EB%82%B4%21%EC%9D%B40171%EA%B0%99%EC%9D%80%20%EC%96%B4%EB%A6%B0%EC%9D%B4%EB%B3%B4%20%EB%8B%B4%EB%B3%B4%EB%AA%85%20%EA%B0%80%EC%9E%85%EA%B8%88%EC%95%A1%20%EC%95%BD%EA%B4%80%20%EB%B3%B4%EC%9E%A5%EB%82%B4%EC%9A%A9" TargetMode="External" Id="rId13"/><Relationship Type="http://schemas.openxmlformats.org/officeDocument/2006/relationships/hyperlink" Target="https://search.naver.com/search.naver?query=%EB%A9%94%EB%A6%AC%EC%B8%A0%ED%99%94%EC%9E%AC%20%EB%AC%B4%EB%B0%B0%EB%8B%B9%20%EB%82%B4%21%EC%9D%B40171%EA%B0%99%EC%9D%80%20%EC%96%B4%EB%A6%B0%EC%9D%B4%EB%B3%B4%20%EF%BC%88%EB%8B%A8%EC%9C%84%20%3A%20%EB%A7%8C%EC%9B%90%EF%BC%89%EB%8B%B4%EB%B3%B4%EB%AA%85%20%EC%95%BD%EA%B4%80%20%EB%B3%B4%EC%9E%A5%EB%82%B4%EC%9A%A9" TargetMode="External" Id="rId14"/><Relationship Type="http://schemas.openxmlformats.org/officeDocument/2006/relationships/hyperlink" Target="https://search.naver.com/search.naver?query=%EB%A9%94%EB%A6%AC%EC%B8%A0%ED%99%94%EC%9E%AC%20%EB%AC%B4%EB%B0%B0%EB%8B%B9%20%EB%82%B4%21%EC%9D%B40171%EA%B0%99%EC%9D%80%20%EC%96%B4%EB%A6%B0%EC%9D%B4%EB%B3%B4%20%5B%EC%84%B8%EB%B6%80%EB%B3%B4%EC%B6%A9%5D%EC%95%BD%EA%B0%92%20%EC%95%BD%EA%B4%80%20%EB%B3%B4%EC%9E%A5%EB%82%B4%EC%9A%A9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9"/>
  <sheetViews>
    <sheetView tabSelected="1" topLeftCell="A31" zoomScaleNormal="100" workbookViewId="0">
      <selection activeCell="C45" sqref="C45"/>
    </sheetView>
  </sheetViews>
  <sheetFormatPr baseColWidth="8" defaultColWidth="9" defaultRowHeight="17.4"/>
  <cols>
    <col width="6.5" customWidth="1" style="82" min="1" max="1"/>
    <col width="22" customWidth="1" style="82" min="2" max="2"/>
    <col width="12" customWidth="1" style="82" min="3" max="7"/>
    <col width="12" customWidth="1" style="82" min="4" max="4"/>
    <col width="16.5" customWidth="1" style="82" min="8" max="8"/>
    <col width="14.5" customWidth="1" style="82" min="9" max="9"/>
    <col width="22.8984375" customWidth="1" style="82" min="10" max="10"/>
    <col width="1.5" customWidth="1" style="82" min="11" max="11"/>
    <col width="11.3984375" customWidth="1" style="82" min="12" max="18"/>
  </cols>
  <sheetData>
    <row r="1" ht="38.25" customHeight="1" s="82">
      <c r="A1" s="152" t="inlineStr">
        <is>
          <t>양예서 보장진단</t>
        </is>
      </c>
      <c r="B1" s="153" t="n"/>
      <c r="C1" s="154" t="inlineStr">
        <is>
          <t>메리츠화재
무배당 내!이0171같은 어린이보험 1307
[비갱신]
(2세대 실손)</t>
        </is>
      </c>
      <c r="D1" s="155" t="inlineStr">
        <is>
          <t>합계</t>
        </is>
      </c>
    </row>
    <row r="2" ht="16.5" customHeight="1" s="82">
      <c r="A2" s="156" t="inlineStr">
        <is>
          <t>보험료</t>
        </is>
      </c>
      <c r="B2" s="157" t="n"/>
      <c r="C2" s="158" t="n">
        <v>55100</v>
      </c>
      <c r="D2" s="159">
        <f>SUM(C2:C2)</f>
        <v>55100</v>
      </c>
    </row>
    <row r="3" ht="16.5" customHeight="1" s="82">
      <c r="A3" s="160" t="inlineStr">
        <is>
          <t>가입년일</t>
        </is>
      </c>
      <c r="B3" s="157" t="n"/>
      <c r="C3" s="161" t="inlineStr">
        <is>
          <t>2013.12.30</t>
        </is>
      </c>
      <c r="D3" s="162" t="n"/>
    </row>
    <row r="4" ht="16.5" customHeight="1" s="82">
      <c r="A4" s="160" t="inlineStr">
        <is>
          <t>만기일자</t>
        </is>
      </c>
      <c r="B4" s="157" t="n"/>
      <c r="C4" s="161" t="inlineStr">
        <is>
          <t>2113.12.30</t>
        </is>
      </c>
      <c r="D4" s="162" t="n"/>
    </row>
    <row r="5" ht="17.25" customHeight="1" s="82">
      <c r="A5" s="160" t="inlineStr">
        <is>
          <t>총납입기간</t>
        </is>
      </c>
      <c r="B5" s="157" t="n"/>
      <c r="C5" s="161" t="inlineStr">
        <is>
          <t>30년납 ()</t>
        </is>
      </c>
      <c r="D5" s="163" t="n"/>
    </row>
    <row r="6" ht="16.5" customHeight="1" s="82">
      <c r="A6" s="164" t="inlineStr">
        <is>
          <t>사망</t>
        </is>
      </c>
      <c r="B6" s="165" t="inlineStr">
        <is>
          <t>일반사망</t>
        </is>
      </c>
      <c r="C6" s="166" t="n"/>
      <c r="D6" s="167">
        <f>SUM(C6:C6)</f>
        <v>0</v>
      </c>
    </row>
    <row r="7" ht="17.25" customHeight="1" s="82">
      <c r="A7" s="168" t="n"/>
      <c r="B7" s="169" t="inlineStr">
        <is>
          <t>중대한CI적용</t>
        </is>
      </c>
      <c r="C7" s="170" t="n"/>
      <c r="D7" s="171">
        <f>SUM(C7:C7)</f>
        <v>0</v>
      </c>
    </row>
    <row r="8" ht="17.25" customHeight="1" s="82">
      <c r="A8" s="168" t="n"/>
      <c r="B8" s="172" t="inlineStr">
        <is>
          <t>질병사망(80세)</t>
        </is>
      </c>
      <c r="C8" s="170" t="n"/>
      <c r="D8" s="171">
        <f>SUM(C8:C8)</f>
        <v>0</v>
      </c>
    </row>
    <row r="9" ht="16.5" customHeight="1" s="82">
      <c r="A9" s="168" t="n"/>
      <c r="B9" s="172" t="inlineStr">
        <is>
          <t>교통상해사망</t>
        </is>
      </c>
      <c r="C9" s="170" t="n"/>
      <c r="D9" s="171">
        <f>SUM(C9:C9)</f>
        <v>0</v>
      </c>
    </row>
    <row r="10" ht="17.25" customHeight="1" s="82">
      <c r="A10" s="173" t="n"/>
      <c r="B10" s="174" t="inlineStr">
        <is>
          <t>상해사망</t>
        </is>
      </c>
      <c r="C10" s="175" t="n"/>
      <c r="D10" s="159">
        <f>SUM(C10:C10)</f>
        <v>0</v>
      </c>
    </row>
    <row r="11" ht="16.5" customHeight="1" s="82">
      <c r="A11" s="176" t="inlineStr">
        <is>
          <t>후유장애</t>
        </is>
      </c>
      <c r="B11" s="172" t="inlineStr">
        <is>
          <t>상해후유3%</t>
        </is>
      </c>
      <c r="C11" s="177" t="n">
        <v>10000</v>
      </c>
      <c r="D11" s="171">
        <f>SUM(C11:C11)</f>
        <v>10000</v>
      </c>
    </row>
    <row r="12" ht="16.5" customHeight="1" s="82">
      <c r="A12" s="168" t="n"/>
      <c r="B12" s="172" t="inlineStr">
        <is>
          <t>상해후유80%</t>
        </is>
      </c>
      <c r="C12" s="170" t="n"/>
      <c r="D12" s="171">
        <f>SUM(C12:C12)</f>
        <v>0</v>
      </c>
    </row>
    <row r="13" ht="16.5" customHeight="1" s="82">
      <c r="A13" s="168" t="n"/>
      <c r="B13" s="172" t="inlineStr">
        <is>
          <t>질병후유3%</t>
        </is>
      </c>
      <c r="C13" s="178" t="n">
        <v>10000</v>
      </c>
      <c r="D13" s="171">
        <f>SUM(C13:C13)</f>
        <v>10000</v>
      </c>
    </row>
    <row r="14" ht="17.25" customHeight="1" s="82">
      <c r="A14" s="173" t="n"/>
      <c r="B14" s="174" t="inlineStr">
        <is>
          <t>질병후유80%</t>
        </is>
      </c>
      <c r="C14" s="175" t="n"/>
      <c r="D14" s="159">
        <f>SUM(C14:C14)</f>
        <v>0</v>
      </c>
    </row>
    <row r="15" ht="17.25" customHeight="1" s="82">
      <c r="A15" s="176" t="inlineStr">
        <is>
          <t>암</t>
        </is>
      </c>
      <c r="B15" s="172" t="inlineStr">
        <is>
          <t>고액암</t>
        </is>
      </c>
      <c r="C15" s="170" t="n"/>
      <c r="D15" s="171">
        <f>SUM(C15:C15)</f>
        <v>0</v>
      </c>
    </row>
    <row r="16" ht="16.5" customHeight="1" s="82">
      <c r="A16" s="168" t="n"/>
      <c r="B16" s="169" t="inlineStr">
        <is>
          <t>일반암</t>
        </is>
      </c>
      <c r="C16" s="177" t="n">
        <v>3000</v>
      </c>
      <c r="D16" s="171">
        <f>SUM(C16:C16)</f>
        <v>3000</v>
      </c>
    </row>
    <row r="17" ht="17.25" customHeight="1" s="82">
      <c r="A17" s="168" t="n"/>
      <c r="B17" s="169" t="inlineStr">
        <is>
          <t>중대한 암</t>
        </is>
      </c>
      <c r="C17" s="170" t="n"/>
      <c r="D17" s="171">
        <f>SUM(C17:C17)</f>
        <v>0</v>
      </c>
    </row>
    <row r="18" ht="16.5" customHeight="1" s="82">
      <c r="A18" s="168" t="n"/>
      <c r="B18" s="172" t="inlineStr">
        <is>
          <t>유사암(갑.기.경.제)</t>
        </is>
      </c>
      <c r="C18" s="177" t="n">
        <v>300</v>
      </c>
      <c r="D18" s="171">
        <f>SUM(C18:C18)</f>
        <v>300</v>
      </c>
    </row>
    <row r="19" ht="16.5" customHeight="1" s="82">
      <c r="A19" s="168" t="n"/>
      <c r="B19" s="172" t="inlineStr">
        <is>
          <t>통합전이암</t>
        </is>
      </c>
      <c r="C19" s="170" t="n"/>
      <c r="D19" s="171">
        <f>SUM(C19:C19)</f>
        <v>0</v>
      </c>
    </row>
    <row r="20" ht="16.5" customHeight="1" s="82">
      <c r="A20" s="168" t="n"/>
      <c r="B20" s="172" t="inlineStr">
        <is>
          <t>암주요치료비</t>
        </is>
      </c>
      <c r="C20" s="179" t="n"/>
      <c r="D20" s="171">
        <f>SUM(C20:C20)</f>
        <v>0</v>
      </c>
    </row>
    <row r="21" ht="16.5" customHeight="1" s="82">
      <c r="A21" s="168" t="n"/>
      <c r="B21" s="172" t="inlineStr">
        <is>
          <t>하이클래스(암)</t>
        </is>
      </c>
      <c r="C21" s="170" t="n"/>
      <c r="D21" s="171">
        <f>SUM(C21:C21)</f>
        <v>0</v>
      </c>
    </row>
    <row r="22" ht="16.5" customHeight="1" s="82">
      <c r="A22" s="168" t="n"/>
      <c r="B22" s="172" t="inlineStr">
        <is>
          <t>중입자치료비</t>
        </is>
      </c>
      <c r="C22" s="179" t="n"/>
      <c r="D22" s="171">
        <f>IF(COUNT(C22:C22)=0,0,MAX(C22:C22))</f>
        <v>0</v>
      </c>
    </row>
    <row r="23" ht="16.5" customHeight="1" s="82">
      <c r="A23" s="168" t="n"/>
      <c r="B23" s="172" t="inlineStr">
        <is>
          <t>표적항암치료비</t>
        </is>
      </c>
      <c r="C23" s="179" t="n"/>
      <c r="D23" s="171">
        <f>SUM(C23:C23)</f>
        <v>0</v>
      </c>
    </row>
    <row r="24" ht="16.5" customHeight="1" s="82">
      <c r="A24" s="168" t="n"/>
      <c r="B24" s="172" t="inlineStr">
        <is>
          <t>양성자치료</t>
        </is>
      </c>
      <c r="C24" s="179" t="n"/>
      <c r="D24" s="171">
        <f>SUM(C24:C24)</f>
        <v>0</v>
      </c>
    </row>
    <row r="25" ht="16.5" customHeight="1" s="82">
      <c r="A25" s="168" t="n"/>
      <c r="B25" s="172" t="inlineStr">
        <is>
          <t>세기조절치료</t>
        </is>
      </c>
      <c r="C25" s="179" t="n"/>
      <c r="D25" s="171">
        <f>SUM(C25:C25)</f>
        <v>0</v>
      </c>
    </row>
    <row r="26" ht="16.5" customHeight="1" s="82">
      <c r="A26" s="168" t="n"/>
      <c r="B26" s="172" t="inlineStr">
        <is>
          <t>다빈치로봇수술비</t>
        </is>
      </c>
      <c r="C26" s="179" t="n"/>
      <c r="D26" s="171">
        <f>SUM(C26:C26)</f>
        <v>0</v>
      </c>
    </row>
    <row r="27" ht="16.5" customHeight="1" s="82">
      <c r="A27" s="168" t="n"/>
      <c r="B27" s="172" t="inlineStr">
        <is>
          <t>암수술</t>
        </is>
      </c>
      <c r="C27" s="177" t="n">
        <v>500</v>
      </c>
      <c r="D27" s="171">
        <f>SUM(C27:C27)</f>
        <v>500</v>
      </c>
    </row>
    <row r="28" ht="17.25" customHeight="1" s="82">
      <c r="A28" s="168" t="n"/>
      <c r="B28" s="172" t="inlineStr">
        <is>
          <t>암일당</t>
        </is>
      </c>
      <c r="C28" s="177" t="n">
        <v>10</v>
      </c>
      <c r="D28" s="171">
        <f>SUM(C28:C28)</f>
        <v>10</v>
      </c>
    </row>
    <row r="29" ht="17.25" customHeight="1" s="82">
      <c r="A29" s="173" t="n"/>
      <c r="B29" s="174" t="inlineStr">
        <is>
          <t>항암방사선약물</t>
        </is>
      </c>
      <c r="C29" s="158" t="n">
        <v>200</v>
      </c>
      <c r="D29" s="159">
        <f>SUM(C29:C29)</f>
        <v>200</v>
      </c>
    </row>
    <row r="30" ht="16.5" customHeight="1" s="82">
      <c r="A30" s="176" t="inlineStr">
        <is>
          <t>뇌혈관</t>
        </is>
      </c>
      <c r="B30" s="172" t="inlineStr">
        <is>
          <t>뇌혈관진단비</t>
        </is>
      </c>
      <c r="C30" s="177" t="n">
        <v>600</v>
      </c>
      <c r="D30" s="171">
        <f>SUM(C30:C30)</f>
        <v>600</v>
      </c>
    </row>
    <row r="31" ht="17.25" customHeight="1" s="82">
      <c r="A31" s="168" t="n"/>
      <c r="B31" s="169" t="inlineStr">
        <is>
          <t>뇌졸증진단비</t>
        </is>
      </c>
      <c r="C31" s="177" t="n">
        <v>2400</v>
      </c>
      <c r="D31" s="171">
        <f>SUM(C31:C31)</f>
        <v>2400</v>
      </c>
    </row>
    <row r="32" ht="16.5" customHeight="1" s="82">
      <c r="A32" s="168" t="n"/>
      <c r="B32" s="169" t="inlineStr">
        <is>
          <t>중대한 뇌졸증</t>
        </is>
      </c>
      <c r="C32" s="170" t="n"/>
      <c r="D32" s="171">
        <f>SUM(C32:C32)</f>
        <v>0</v>
      </c>
    </row>
    <row r="33" ht="16.5" customHeight="1" s="82">
      <c r="A33" s="168" t="n"/>
      <c r="B33" s="172" t="inlineStr">
        <is>
          <t>뇌출혈진단비</t>
        </is>
      </c>
      <c r="C33" s="170" t="n"/>
      <c r="D33" s="171">
        <f>SUM(C33:C33)</f>
        <v>0</v>
      </c>
    </row>
    <row r="34" ht="16.5" customHeight="1" s="82">
      <c r="A34" s="168" t="n"/>
      <c r="B34" s="172" t="inlineStr">
        <is>
          <t>외상성뇌출혈</t>
        </is>
      </c>
      <c r="C34" s="170" t="n"/>
      <c r="D34" s="171">
        <f>SUM(C34:C34)</f>
        <v>0</v>
      </c>
    </row>
    <row r="35" ht="16.5" customHeight="1" s="82">
      <c r="A35" s="168" t="n"/>
      <c r="B35" s="172" t="inlineStr">
        <is>
          <t>산정특례뇌혈관</t>
        </is>
      </c>
      <c r="C35" s="170" t="n"/>
      <c r="D35" s="171">
        <f>SUM(C35:C35)</f>
        <v>0</v>
      </c>
    </row>
    <row r="36" ht="16.5" customHeight="1" s="82">
      <c r="A36" s="168" t="n"/>
      <c r="B36" s="172" t="inlineStr">
        <is>
          <t>2대 주요치료비</t>
        </is>
      </c>
      <c r="C36" s="170" t="n"/>
      <c r="D36" s="171">
        <f>SUM(C36:C36)</f>
        <v>0</v>
      </c>
    </row>
    <row r="37" ht="16.5" customHeight="1" s="82">
      <c r="A37" s="173" t="n"/>
      <c r="B37" s="174" t="inlineStr">
        <is>
          <t>혈전용해치료비</t>
        </is>
      </c>
      <c r="C37" s="175" t="n"/>
      <c r="D37" s="159">
        <f>SUM(C37:C37)</f>
        <v>0</v>
      </c>
    </row>
    <row r="38" ht="16.5" customHeight="1" s="82">
      <c r="A38" s="176" t="inlineStr">
        <is>
          <t>심장</t>
        </is>
      </c>
      <c r="B38" s="172" t="inlineStr">
        <is>
          <t>협심증</t>
        </is>
      </c>
      <c r="C38" s="170" t="n"/>
      <c r="D38" s="171">
        <f>SUM(C38:C38)</f>
        <v>0</v>
      </c>
    </row>
    <row r="39" ht="16.5" customHeight="1" s="82">
      <c r="A39" s="168" t="n"/>
      <c r="B39" s="172" t="inlineStr">
        <is>
          <t>심부전</t>
        </is>
      </c>
      <c r="C39" s="170" t="n"/>
      <c r="D39" s="171">
        <f>SUM(C39:C39)</f>
        <v>0</v>
      </c>
    </row>
    <row r="40" ht="16.5" customHeight="1" s="82">
      <c r="A40" s="168" t="n"/>
      <c r="B40" s="172" t="inlineStr">
        <is>
          <t>빈맥</t>
        </is>
      </c>
      <c r="C40" s="170" t="n"/>
      <c r="D40" s="171">
        <f>SUM(C40:C40)</f>
        <v>0</v>
      </c>
    </row>
    <row r="41" ht="17.25" customHeight="1" s="82">
      <c r="A41" s="168" t="n"/>
      <c r="B41" s="172" t="inlineStr">
        <is>
          <t>염증</t>
        </is>
      </c>
      <c r="C41" s="170" t="n"/>
      <c r="D41" s="171">
        <f>SUM(C41:C41)</f>
        <v>0</v>
      </c>
    </row>
    <row r="42" ht="16.5" customHeight="1" s="82">
      <c r="A42" s="168" t="n"/>
      <c r="B42" s="172" t="inlineStr">
        <is>
          <t>부정맥</t>
        </is>
      </c>
      <c r="C42" s="170" t="n"/>
      <c r="D42" s="171">
        <f>SUM(C42:C42)</f>
        <v>0</v>
      </c>
    </row>
    <row r="43" ht="16.5" customHeight="1" s="82">
      <c r="A43" s="168" t="n"/>
      <c r="B43" s="172" t="inlineStr">
        <is>
          <t>심근병증</t>
        </is>
      </c>
      <c r="C43" s="180" t="n"/>
      <c r="D43" s="181">
        <f>SUM(C43:C43)</f>
        <v>0</v>
      </c>
    </row>
    <row r="44" ht="17.25" customHeight="1" s="82">
      <c r="A44" s="168" t="n"/>
      <c r="B44" s="172" t="inlineStr">
        <is>
          <t>심장판막</t>
        </is>
      </c>
      <c r="C44" s="180" t="n"/>
      <c r="D44" s="181">
        <f>SUM(C44:C44)</f>
        <v>0</v>
      </c>
    </row>
    <row r="45" ht="17.25" customHeight="1" s="82">
      <c r="A45" s="168" t="n"/>
      <c r="B45" s="172" t="inlineStr">
        <is>
          <t>산정특례심장</t>
        </is>
      </c>
      <c r="C45" s="170" t="n"/>
      <c r="D45" s="171">
        <f>SUM(C45:C45)</f>
        <v>0</v>
      </c>
    </row>
    <row r="46" ht="16.5" customHeight="1" s="82">
      <c r="A46" s="168" t="n"/>
      <c r="B46" s="182" t="inlineStr">
        <is>
          <t>2대 주요치료비</t>
        </is>
      </c>
      <c r="C46" s="170" t="n"/>
      <c r="D46" s="171">
        <f>SUM(C46:C46)</f>
        <v>0</v>
      </c>
    </row>
    <row r="47" ht="16.5" customHeight="1" s="82">
      <c r="A47" s="168" t="n"/>
      <c r="B47" s="182" t="inlineStr">
        <is>
          <t>허혈성 진단비</t>
        </is>
      </c>
      <c r="C47" s="177" t="n">
        <v>600</v>
      </c>
      <c r="D47" s="171">
        <f>SUM(C47:C47)</f>
        <v>600</v>
      </c>
    </row>
    <row r="48" ht="16.5" customHeight="1" s="82">
      <c r="A48" s="168" t="n"/>
      <c r="B48" s="169" t="inlineStr">
        <is>
          <t>급성심근경색</t>
        </is>
      </c>
      <c r="C48" s="177" t="n">
        <v>3000</v>
      </c>
      <c r="D48" s="171">
        <f>SUM(C48:C48)</f>
        <v>3000</v>
      </c>
    </row>
    <row r="49" ht="16.5" customHeight="1" s="82">
      <c r="A49" s="173" t="n"/>
      <c r="B49" s="183" t="inlineStr">
        <is>
          <t>중대한 급성심근</t>
        </is>
      </c>
      <c r="C49" s="175" t="n"/>
      <c r="D49" s="159">
        <f>SUM(C49:C49)</f>
        <v>0</v>
      </c>
    </row>
    <row r="50" ht="16.5" customHeight="1" s="82">
      <c r="A50" s="176" t="inlineStr">
        <is>
          <t>일당</t>
        </is>
      </c>
      <c r="B50" s="172" t="inlineStr">
        <is>
          <t>혈전용해치료비</t>
        </is>
      </c>
      <c r="C50" s="170" t="n"/>
      <c r="D50" s="171">
        <f>SUM(C50:C50)</f>
        <v>0</v>
      </c>
    </row>
    <row r="51" ht="16.5" customHeight="1" s="82">
      <c r="A51" s="168" t="n"/>
      <c r="B51" s="172" t="inlineStr">
        <is>
          <t>질병일당</t>
        </is>
      </c>
      <c r="C51" s="177" t="n">
        <v>3</v>
      </c>
      <c r="D51" s="171">
        <f>SUM(C51:C51)</f>
        <v>3</v>
      </c>
    </row>
    <row r="52" ht="16.5" customHeight="1" s="82">
      <c r="A52" s="168" t="n"/>
      <c r="B52" s="172" t="inlineStr">
        <is>
          <t>질병수술일당</t>
        </is>
      </c>
      <c r="C52" s="170" t="n"/>
      <c r="D52" s="171">
        <f>SUM(C52:C52)</f>
        <v>0</v>
      </c>
    </row>
    <row r="53" ht="16.5" customHeight="1" s="82">
      <c r="A53" s="168" t="n"/>
      <c r="B53" s="172" t="inlineStr">
        <is>
          <t>질병종합병원일당</t>
        </is>
      </c>
      <c r="C53" s="170" t="n"/>
      <c r="D53" s="171">
        <f>SUM(C53:C53)</f>
        <v>0</v>
      </c>
    </row>
    <row r="54" ht="16.5" customHeight="1" s="82">
      <c r="A54" s="168" t="n"/>
      <c r="B54" s="172" t="inlineStr">
        <is>
          <t>상해일당</t>
        </is>
      </c>
      <c r="C54" s="177" t="n">
        <v>3</v>
      </c>
      <c r="D54" s="171">
        <f>SUM(C54:C54)</f>
        <v>3</v>
      </c>
    </row>
    <row r="55" ht="16.5" customHeight="1" s="82">
      <c r="A55" s="168" t="n"/>
      <c r="B55" s="172" t="inlineStr">
        <is>
          <t>상해수술일당</t>
        </is>
      </c>
      <c r="C55" s="170" t="n"/>
      <c r="D55" s="171">
        <f>SUM(C55:C55)</f>
        <v>0</v>
      </c>
    </row>
    <row r="56" ht="16.5" customHeight="1" s="82">
      <c r="A56" s="168" t="n"/>
      <c r="B56" s="172" t="inlineStr">
        <is>
          <t>간병인</t>
        </is>
      </c>
      <c r="C56" s="170" t="n"/>
      <c r="D56" s="171">
        <f>IF(COUNT(C56:C56)=0,0,MAX(C56:C56))</f>
        <v>0</v>
      </c>
    </row>
    <row r="57" ht="16.5" customHeight="1" s="82">
      <c r="A57" s="168" t="n"/>
      <c r="B57" s="172" t="inlineStr">
        <is>
          <t>간병인지원일당</t>
        </is>
      </c>
      <c r="C57" s="170" t="n"/>
      <c r="D57" s="171">
        <f>SUM(C57:C57)</f>
        <v>0</v>
      </c>
    </row>
    <row r="58" ht="16.5" customHeight="1" s="82">
      <c r="A58" s="168" t="n"/>
      <c r="B58" s="172" t="inlineStr">
        <is>
          <t>간호통합병동</t>
        </is>
      </c>
      <c r="C58" s="170" t="n"/>
      <c r="D58" s="171">
        <f>IF(SUM(C58:C58)&gt;0,7,0)</f>
        <v>0</v>
      </c>
    </row>
    <row r="59" ht="16.5" customHeight="1" s="82">
      <c r="A59" s="168" t="n"/>
      <c r="B59" s="182" t="inlineStr">
        <is>
          <t>1인실 종합병원</t>
        </is>
      </c>
      <c r="C59" s="170" t="n"/>
      <c r="D59" s="171">
        <f>SUM(C59:C59)</f>
        <v>0</v>
      </c>
    </row>
    <row r="60" ht="16.5" customHeight="1" s="82">
      <c r="A60" s="168" t="n"/>
      <c r="B60" s="182" t="inlineStr">
        <is>
          <t>1인실 상급병원</t>
        </is>
      </c>
      <c r="C60" s="170" t="n"/>
      <c r="D60" s="171">
        <f>SUM(C60:C60)</f>
        <v>0</v>
      </c>
    </row>
    <row r="61" ht="16.5" customHeight="1" s="82">
      <c r="A61" s="168" t="n"/>
      <c r="B61" s="172" t="inlineStr">
        <is>
          <t>질병중환자실</t>
        </is>
      </c>
      <c r="C61" s="170" t="n"/>
      <c r="D61" s="171">
        <f>SUM(C61:C61)</f>
        <v>0</v>
      </c>
    </row>
    <row r="62" ht="17.25" customHeight="1" s="82">
      <c r="A62" s="173" t="n"/>
      <c r="B62" s="174" t="inlineStr">
        <is>
          <t>상해중환자실</t>
        </is>
      </c>
      <c r="C62" s="175" t="n"/>
      <c r="D62" s="159">
        <f>SUM(C62:C62)</f>
        <v>0</v>
      </c>
    </row>
    <row r="63" ht="17.25" customHeight="1" s="82">
      <c r="A63" s="176" t="inlineStr">
        <is>
          <t>수술</t>
        </is>
      </c>
      <c r="B63" s="172" t="inlineStr">
        <is>
          <t>상해수술비</t>
        </is>
      </c>
      <c r="C63" s="177" t="n">
        <v>30</v>
      </c>
      <c r="D63" s="171">
        <f>SUM(C63:C63)</f>
        <v>30</v>
      </c>
    </row>
    <row r="64" ht="16.5" customHeight="1" s="82">
      <c r="A64" s="168" t="n"/>
      <c r="B64" s="172" t="inlineStr">
        <is>
          <t>중대한상해수술비</t>
        </is>
      </c>
      <c r="C64" s="177" t="n">
        <v>500</v>
      </c>
      <c r="D64" s="171">
        <f>SUM(C64:C64)</f>
        <v>500</v>
      </c>
    </row>
    <row r="65" ht="16.5" customHeight="1" s="82">
      <c r="A65" s="168" t="n"/>
      <c r="B65" s="172" t="inlineStr">
        <is>
          <t>상해 종수술비(1-5종)</t>
        </is>
      </c>
      <c r="C65" s="170" t="n"/>
      <c r="D65" s="171">
        <f>SUM(C65:C65)</f>
        <v>0</v>
      </c>
    </row>
    <row r="66" ht="16.5" customHeight="1" s="82">
      <c r="A66" s="168" t="n"/>
      <c r="B66" s="172" t="inlineStr">
        <is>
          <t>상해 종수술비(1-8종)</t>
        </is>
      </c>
      <c r="C66" s="170" t="n"/>
      <c r="D66" s="171">
        <f>SUM(C66:C66)</f>
        <v>0</v>
      </c>
    </row>
    <row r="67" ht="16.5" customHeight="1" s="82">
      <c r="A67" s="168" t="n"/>
      <c r="B67" s="172" t="inlineStr">
        <is>
          <t>창상봉합술</t>
        </is>
      </c>
      <c r="C67" s="170" t="n"/>
      <c r="D67" s="171">
        <f>SUM(C67:C67)</f>
        <v>0</v>
      </c>
    </row>
    <row r="68" ht="17.25" customHeight="1" s="82">
      <c r="A68" s="168" t="n"/>
      <c r="B68" s="172" t="inlineStr">
        <is>
          <t>골절수술비</t>
        </is>
      </c>
      <c r="C68" s="170" t="n"/>
      <c r="D68" s="171">
        <f>SUM(C68:C68)</f>
        <v>0</v>
      </c>
    </row>
    <row r="69" ht="16.5" customHeight="1" s="82">
      <c r="A69" s="168" t="n"/>
      <c r="B69" s="182" t="inlineStr">
        <is>
          <t>5대골절수술비</t>
        </is>
      </c>
      <c r="C69" s="170" t="n"/>
      <c r="D69" s="171">
        <f>SUM(C69:C69)</f>
        <v>0</v>
      </c>
    </row>
    <row r="70" ht="16.5" customHeight="1" s="82">
      <c r="A70" s="168" t="n"/>
      <c r="B70" s="172" t="inlineStr">
        <is>
          <t>화상수술비</t>
        </is>
      </c>
      <c r="C70" s="170" t="n"/>
      <c r="D70" s="171">
        <f>SUM(C70:C70)</f>
        <v>0</v>
      </c>
    </row>
    <row r="71" ht="16.5" customHeight="1" s="82">
      <c r="A71" s="184" t="n"/>
      <c r="B71" s="185" t="inlineStr">
        <is>
          <t>질병수술비</t>
        </is>
      </c>
      <c r="C71" s="186" t="n">
        <v>30</v>
      </c>
      <c r="D71" s="167">
        <f>SUM(C71:C71)</f>
        <v>30</v>
      </c>
    </row>
    <row r="72" ht="16.5" customHeight="1" s="82">
      <c r="A72" s="168" t="n"/>
      <c r="B72" s="172" t="inlineStr">
        <is>
          <t>질병 종수술비(1-5종)</t>
        </is>
      </c>
      <c r="C72" s="170" t="n"/>
      <c r="D72" s="171">
        <f>SUM(C72:C72)</f>
        <v>0</v>
      </c>
    </row>
    <row r="73" ht="16.5" customHeight="1" s="82">
      <c r="A73" s="168" t="n"/>
      <c r="B73" s="172" t="inlineStr">
        <is>
          <t>질병 종수술비(1-8종)</t>
        </is>
      </c>
      <c r="C73" s="170" t="n"/>
      <c r="D73" s="171">
        <f>SUM(C73:C73)</f>
        <v>0</v>
      </c>
    </row>
    <row r="74" ht="16.5" customHeight="1" s="82">
      <c r="A74" s="168" t="n"/>
      <c r="B74" s="172" t="inlineStr">
        <is>
          <t>뇌혈관수술비</t>
        </is>
      </c>
      <c r="C74" s="170" t="n"/>
      <c r="D74" s="171">
        <f>SUM(C74:C74)</f>
        <v>0</v>
      </c>
    </row>
    <row r="75" ht="16.5" customHeight="1" s="82">
      <c r="A75" s="168" t="n"/>
      <c r="B75" s="172" t="inlineStr">
        <is>
          <t>허혈성수술비</t>
        </is>
      </c>
      <c r="C75" s="170" t="n"/>
      <c r="D75" s="171">
        <f>SUM(C75:C75)</f>
        <v>0</v>
      </c>
    </row>
    <row r="76" ht="17.25" customHeight="1" s="82">
      <c r="A76" s="168" t="n"/>
      <c r="B76" s="172" t="inlineStr">
        <is>
          <t>심장수술비</t>
        </is>
      </c>
      <c r="C76" s="177" t="n">
        <v>300</v>
      </c>
      <c r="D76" s="171">
        <f>SUM(C76:C76)</f>
        <v>300</v>
      </c>
    </row>
    <row r="77" ht="16.5" customHeight="1" s="82">
      <c r="A77" s="168" t="n"/>
      <c r="B77" s="182" t="inlineStr">
        <is>
          <t>120대수술비</t>
        </is>
      </c>
      <c r="C77" s="170" t="n"/>
      <c r="D77" s="171">
        <f>SUM(C77:C77)</f>
        <v>0</v>
      </c>
    </row>
    <row r="78" ht="16.5" customHeight="1" s="82">
      <c r="A78" s="168" t="n"/>
      <c r="B78" s="182" t="inlineStr">
        <is>
          <t>5대기관 수술비 관혈</t>
        </is>
      </c>
      <c r="C78" s="170" t="n"/>
      <c r="D78" s="171">
        <f>SUM(C78:C78)</f>
        <v>0</v>
      </c>
    </row>
    <row r="79" ht="17.25" customHeight="1" s="82">
      <c r="A79" s="173" t="n"/>
      <c r="B79" s="187" t="inlineStr">
        <is>
          <t>5대기관 수술비 비관혈</t>
        </is>
      </c>
      <c r="C79" s="175" t="n"/>
      <c r="D79" s="159">
        <f>SUM(C79:C79)</f>
        <v>0</v>
      </c>
    </row>
    <row r="80" ht="17.25" customHeight="1" s="82">
      <c r="A80" s="176" t="inlineStr">
        <is>
          <t>운전</t>
        </is>
      </c>
      <c r="B80" s="172" t="inlineStr">
        <is>
          <t>대인</t>
        </is>
      </c>
      <c r="C80" s="170" t="n"/>
      <c r="D80" s="171">
        <f>SUM(C80:C80)</f>
        <v>0</v>
      </c>
    </row>
    <row r="81" ht="17.25" customHeight="1" s="82">
      <c r="A81" s="168" t="n"/>
      <c r="B81" s="172" t="inlineStr">
        <is>
          <t>대물</t>
        </is>
      </c>
      <c r="C81" s="170" t="n"/>
      <c r="D81" s="171">
        <f>SUM(C81:C81)</f>
        <v>0</v>
      </c>
    </row>
    <row r="82" ht="16.5" customHeight="1" s="82">
      <c r="A82" s="168" t="n"/>
      <c r="B82" s="172" t="inlineStr">
        <is>
          <t>합의금</t>
        </is>
      </c>
      <c r="C82" s="170" t="n"/>
      <c r="D82" s="171">
        <f>SUM(C82:C82)</f>
        <v>0</v>
      </c>
    </row>
    <row r="83" ht="17.25" customHeight="1" s="82">
      <c r="A83" s="168" t="n"/>
      <c r="B83" s="182" t="inlineStr">
        <is>
          <t>6주미만</t>
        </is>
      </c>
      <c r="C83" s="170" t="n"/>
      <c r="D83" s="171">
        <f>SUM(C83:C83)</f>
        <v>0</v>
      </c>
    </row>
    <row r="84" ht="16.5" customHeight="1" s="82">
      <c r="A84" s="168" t="n"/>
      <c r="B84" s="172" t="inlineStr">
        <is>
          <t>변호사</t>
        </is>
      </c>
      <c r="C84" s="170" t="n"/>
      <c r="D84" s="171">
        <f>SUM(C84:C84)</f>
        <v>0</v>
      </c>
    </row>
    <row r="85" ht="17.25" customHeight="1" s="82">
      <c r="A85" s="173" t="n"/>
      <c r="B85" s="174" t="inlineStr">
        <is>
          <t>자부상</t>
        </is>
      </c>
      <c r="C85" s="158" t="n">
        <v>10</v>
      </c>
      <c r="D85" s="159">
        <f>MIN(SUM(C85:C85),80)</f>
        <v>10</v>
      </c>
    </row>
    <row r="86" ht="16.5" customHeight="1" s="82">
      <c r="A86" s="176" t="inlineStr">
        <is>
          <t>골절</t>
        </is>
      </c>
      <c r="B86" s="172" t="inlineStr">
        <is>
          <t>골절(치아파절포함)</t>
        </is>
      </c>
      <c r="C86" s="177" t="n">
        <v>20</v>
      </c>
      <c r="D86" s="171">
        <f>SUM(C86:C86)</f>
        <v>20</v>
      </c>
    </row>
    <row r="87" ht="16.5" customHeight="1" s="82">
      <c r="A87" s="168" t="n"/>
      <c r="B87" s="172" t="inlineStr">
        <is>
          <t>골절(치아파절제외)</t>
        </is>
      </c>
      <c r="C87" s="170" t="n"/>
      <c r="D87" s="171">
        <f>SUM(C87:C87)</f>
        <v>0</v>
      </c>
    </row>
    <row r="88" ht="17.25" customHeight="1" s="82">
      <c r="A88" s="173" t="n"/>
      <c r="B88" s="187" t="inlineStr">
        <is>
          <t>5대골절진단비</t>
        </is>
      </c>
      <c r="C88" s="175" t="n"/>
      <c r="D88" s="159">
        <f>SUM(C88:C88)</f>
        <v>0</v>
      </c>
    </row>
    <row r="89" ht="17.25" customHeight="1" s="82">
      <c r="A89" s="188" t="inlineStr">
        <is>
          <t>응급실</t>
        </is>
      </c>
      <c r="B89" s="174" t="inlineStr">
        <is>
          <t>응급실(응급)</t>
        </is>
      </c>
      <c r="C89" s="175" t="n"/>
      <c r="D89" s="159">
        <f>SUM(C89:C89)</f>
        <v>0</v>
      </c>
    </row>
    <row r="90">
      <c r="A90" s="188" t="inlineStr">
        <is>
          <t>독감</t>
        </is>
      </c>
      <c r="B90" s="174" t="inlineStr">
        <is>
          <t>독감</t>
        </is>
      </c>
      <c r="C90" s="175" t="n"/>
      <c r="D90" s="159">
        <f>SUM(C90:C90)</f>
        <v>0</v>
      </c>
    </row>
    <row r="91">
      <c r="A91" s="176" t="inlineStr">
        <is>
          <t>화상</t>
        </is>
      </c>
      <c r="B91" s="172" t="inlineStr">
        <is>
          <t>화상진단비</t>
        </is>
      </c>
      <c r="C91" s="177" t="n">
        <v>20</v>
      </c>
      <c r="D91" s="171">
        <f>SUM(C91:C91)</f>
        <v>20</v>
      </c>
    </row>
    <row r="92">
      <c r="A92" s="173" t="n"/>
      <c r="B92" s="174" t="inlineStr">
        <is>
          <t>중증화상진단비</t>
        </is>
      </c>
      <c r="C92" s="158" t="n">
        <v>3000</v>
      </c>
      <c r="D92" s="159">
        <f>SUM(C92:C92)</f>
        <v>3000</v>
      </c>
    </row>
    <row r="93">
      <c r="A93" s="176" t="inlineStr">
        <is>
          <t>깁스</t>
        </is>
      </c>
      <c r="B93" s="172" t="inlineStr">
        <is>
          <t>반깁스</t>
        </is>
      </c>
      <c r="C93" s="170" t="n"/>
      <c r="D93" s="171">
        <f>SUM(C93:C93)</f>
        <v>0</v>
      </c>
    </row>
    <row r="94">
      <c r="A94" s="173" t="n"/>
      <c r="B94" s="174" t="inlineStr">
        <is>
          <t>깁스진단비</t>
        </is>
      </c>
      <c r="C94" s="158" t="n">
        <v>10</v>
      </c>
      <c r="D94" s="159">
        <f>SUM(C94:C94)</f>
        <v>10</v>
      </c>
    </row>
    <row r="95" s="82">
      <c r="A95" s="176" t="inlineStr">
        <is>
          <t>실손</t>
        </is>
      </c>
      <c r="B95" s="172" t="inlineStr">
        <is>
          <t>입원</t>
        </is>
      </c>
      <c r="C95" s="178" t="n">
        <v>5000</v>
      </c>
      <c r="D95" s="171">
        <f>MIN(SUM(C95:C95),5000)</f>
        <v>5000</v>
      </c>
    </row>
    <row r="96" s="82">
      <c r="A96" s="168" t="n"/>
      <c r="B96" s="172" t="inlineStr">
        <is>
          <t>통원</t>
        </is>
      </c>
      <c r="C96" s="178" t="n">
        <v>30</v>
      </c>
      <c r="D96" s="171">
        <f>SUM(C96:C96)</f>
        <v>30</v>
      </c>
    </row>
    <row r="97">
      <c r="A97" s="168" t="n"/>
      <c r="B97" s="172" t="inlineStr">
        <is>
          <t>약값</t>
        </is>
      </c>
      <c r="C97" s="178" t="n">
        <v>5</v>
      </c>
      <c r="D97" s="171">
        <f>SUM(C97:C97)</f>
        <v>5</v>
      </c>
    </row>
    <row r="98">
      <c r="A98" s="173" t="n"/>
      <c r="B98" s="174" t="inlineStr">
        <is>
          <t>MRI/도수치료/비급여주사</t>
        </is>
      </c>
      <c r="C98" s="175" t="n"/>
      <c r="D98" s="159">
        <f>SUM(C98:C98)</f>
        <v>0</v>
      </c>
    </row>
    <row r="99">
      <c r="A99" s="188" t="inlineStr">
        <is>
          <t>일배책</t>
        </is>
      </c>
      <c r="B99" s="174" t="inlineStr">
        <is>
          <t>일상배상책임</t>
        </is>
      </c>
      <c r="C99" s="189" t="n">
        <v>10000</v>
      </c>
      <c r="D99" s="159">
        <f>SUM(C99:C99)</f>
        <v>10000</v>
      </c>
    </row>
  </sheetData>
  <mergeCells count="17">
    <mergeCell ref="A30:A37"/>
    <mergeCell ref="A63:A79"/>
    <mergeCell ref="A93:A94"/>
    <mergeCell ref="A4:B4"/>
    <mergeCell ref="A2:B2"/>
    <mergeCell ref="A15:A29"/>
    <mergeCell ref="A50:A62"/>
    <mergeCell ref="A5:B5"/>
    <mergeCell ref="A38:A49"/>
    <mergeCell ref="A86:A88"/>
    <mergeCell ref="A11:A14"/>
    <mergeCell ref="A91:A92"/>
    <mergeCell ref="A1:B1"/>
    <mergeCell ref="A95:A98"/>
    <mergeCell ref="A3:B3"/>
    <mergeCell ref="A80:A85"/>
    <mergeCell ref="A6:A10"/>
  </mergeCells>
  <pageMargins left="0.7" right="0.7" top="0.75" bottom="0.75" header="0.511811023622047" footer="0.511811023622047"/>
  <pageSetup orientation="portrait" paperSize="8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Normal="100" workbookViewId="0">
      <selection activeCell="A1" sqref="A1"/>
    </sheetView>
  </sheetViews>
  <sheetFormatPr baseColWidth="8" defaultColWidth="8.5" defaultRowHeight="17.4"/>
  <cols>
    <col width="5" customWidth="1" style="82" min="1" max="1"/>
    <col width="110" customWidth="1" style="82" min="2" max="2"/>
  </cols>
  <sheetData>
    <row r="1" ht="20.1" customHeight="1" s="82">
      <c r="A1" s="83" t="inlineStr">
        <is>
          <t>바름 보장분석 법칙 v2 — 이 표본에 내장 (2026.06.09)</t>
        </is>
      </c>
    </row>
    <row r="3" ht="17.1" customHeight="1" s="82">
      <c r="A3" s="0" t="inlineStr">
        <is>
          <t>1</t>
        </is>
      </c>
      <c r="B3" s="84" t="inlineStr">
        <is>
          <t>폼 무변형: 이 표본을 열어 값만 채운다. 새 워크북·행삭제·카테고리축소 금지. 추가만(그룹 안 행삽입), 표 밖 금지.</t>
        </is>
      </c>
    </row>
    <row r="4" ht="17.1" customHeight="1" s="82">
      <c r="A4" s="0" t="inlineStr">
        <is>
          <t>2</t>
        </is>
      </c>
      <c r="B4" s="84" t="inlineStr">
        <is>
          <t>새 고객 입력 시 이전 고객 값 전부 zero화(이 표본에서 새로 시작).</t>
        </is>
      </c>
    </row>
    <row r="5" ht="17.1" customHeight="1" s="82">
      <c r="A5" s="0" t="inlineStr">
        <is>
          <t>3</t>
        </is>
      </c>
      <c r="B5" s="84" t="inlineStr">
        <is>
          <t>열=계약(최대 50). 행=담보(15구분·82행). 끝열=합계.</t>
        </is>
      </c>
    </row>
    <row r="6" ht="17.1" customHeight="1" s="82">
      <c r="A6" s="0" t="inlineStr">
        <is>
          <t>4</t>
        </is>
      </c>
      <c r="B6" s="84" t="inlineStr">
        <is>
          <t>합계 = 세로(계약별) SUM. 4페이지 한장보장 값을 합계칸 직박음 금지(눈속임). 계약별 칸을 채워야 합계가 산다.</t>
        </is>
      </c>
    </row>
    <row r="7" ht="17.1" customHeight="1" s="82">
      <c r="A7" s="0" t="inlineStr">
        <is>
          <t>5</t>
        </is>
      </c>
      <c r="B7" s="84" t="inlineStr">
        <is>
          <t>계약별 대조 필수: A담보가 B회사 칸으로 가면 안 됨.</t>
        </is>
      </c>
    </row>
    <row r="8" ht="17.1" customHeight="1" s="82">
      <c r="A8" s="0" t="inlineStr">
        <is>
          <t>6</t>
        </is>
      </c>
      <c r="B8" s="85" t="inlineStr">
        <is>
          <t>1~5종 수술비 = 질병/상해 각 1행, 슬래시 가로표기 "20/50/100/500/1000", 합계도 종별.</t>
        </is>
      </c>
    </row>
    <row r="9" ht="17.1" customHeight="1" s="82">
      <c r="A9" s="0" t="inlineStr">
        <is>
          <t>7</t>
        </is>
      </c>
      <c r="B9" s="84" t="inlineStr">
        <is>
          <t>갱신/비갱신: ①갱신형명시→갱신 ②운전자→비갱신 ③9999→비갱신 ④총회차240초과→비갱신 ⑤납입년수≠보장년수→비갱신.</t>
        </is>
      </c>
    </row>
    <row r="10" ht="17.1" customHeight="1" s="82">
      <c r="A10" s="0" t="inlineStr">
        <is>
          <t>8</t>
        </is>
      </c>
      <c r="B10" s="84" t="inlineStr">
        <is>
          <t>색: 갱신=파랑 / 비갱신=검정 / 미가입=빨강. 구분셀=연두. 헤더 갱신블루·비갱신레드·완납진녹.</t>
        </is>
      </c>
    </row>
    <row r="11" ht="17.1" customHeight="1" s="82">
      <c r="A11" s="0" t="inlineStr">
        <is>
          <t>9</t>
        </is>
      </c>
      <c r="B11" s="84" t="inlineStr">
        <is>
          <t>심장=담보명 직행(허혈성→허혈성칸, 전파금지). 불확정은 기재+[확인].</t>
        </is>
      </c>
    </row>
    <row r="12" ht="17.1" customHeight="1" s="82">
      <c r="A12" s="0" t="inlineStr">
        <is>
          <t>10</t>
        </is>
      </c>
      <c r="B12" s="85" t="inlineStr">
        <is>
          <t>9999(생보)=종신 → 일반사망(종신)+상해사망. 손보 질병사망=80세칸.</t>
        </is>
      </c>
    </row>
    <row r="13" ht="17.1" customHeight="1" s="82">
      <c r="A13" s="0" t="inlineStr">
        <is>
          <t>11</t>
        </is>
      </c>
      <c r="B13" s="84" t="inlineStr">
        <is>
          <t>추측 금지: 모르면 빈칸+[확인]. 채우는 게 최악, 비우고 메모가 차선, 확정 기재가 최선. 자동천장 95%.</t>
        </is>
      </c>
    </row>
    <row r="14" ht="17.1" customHeight="1" s="82">
      <c r="A14" s="0" t="inlineStr">
        <is>
          <t>12</t>
        </is>
      </c>
      <c r="B14" s="84" t="inlineStr">
        <is>
          <t>엑셀=원천, PPT는 완성 엑셀만 읽음(PDF→엑셀→PPT). 제출 전 렌더검수 통과한 것만.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4" customWidth="1" style="82" min="2" max="2"/>
    <col width="40" customWidth="1" style="82" min="4" max="4"/>
    <col width="12" customWidth="1" style="82" min="5" max="5"/>
  </cols>
  <sheetData>
    <row r="1">
      <c r="A1" t="inlineStr">
        <is>
          <t>양예서 · 자동분석 2026.07.04</t>
        </is>
      </c>
    </row>
    <row r="3">
      <c r="A3" t="inlineStr">
        <is>
          <t>계약수</t>
        </is>
      </c>
      <c r="B3" t="n">
        <v>1</v>
      </c>
    </row>
    <row r="4">
      <c r="A4" t="inlineStr">
        <is>
          <t>월보험료합계</t>
        </is>
      </c>
      <c r="B4" t="inlineStr">
        <is>
          <t>55,100원</t>
        </is>
      </c>
    </row>
    <row r="6">
      <c r="A6" t="inlineStr">
        <is>
          <t>[확인] 자동매핑 실패 담보 (마스터 미수록 또는 약관 확인 후 수기 기재)</t>
        </is>
      </c>
    </row>
    <row r="7">
      <c r="A7" t="inlineStr">
        <is>
          <t>회사</t>
        </is>
      </c>
      <c r="B7" t="inlineStr">
        <is>
          <t>담보명</t>
        </is>
      </c>
      <c r="C7" t="inlineStr">
        <is>
          <t>금액(만원)</t>
        </is>
      </c>
      <c r="D7" t="inlineStr">
        <is>
          <t>보장범위(참고)</t>
        </is>
      </c>
      <c r="E7" t="inlineStr">
        <is>
          <t>약관검색</t>
        </is>
      </c>
    </row>
    <row r="8">
      <c r="A8" t="inlineStr">
        <is>
          <t>메리츠화재</t>
        </is>
      </c>
      <c r="B8" t="inlineStr">
        <is>
          <t>소아백혈병진단비</t>
        </is>
      </c>
      <c r="C8" t="n">
        <v>2000</v>
      </c>
      <c r="D8" t="inlineStr"/>
      <c r="E8" s="190" t="inlineStr">
        <is>
          <t>🔗약관검색</t>
        </is>
      </c>
    </row>
    <row r="9">
      <c r="A9" t="inlineStr">
        <is>
          <t>메리츠화재</t>
        </is>
      </c>
      <c r="B9" t="inlineStr">
        <is>
          <t>심장관련소아특정질병진단비</t>
        </is>
      </c>
      <c r="C9" t="n">
        <v>1000</v>
      </c>
      <c r="D9" t="inlineStr"/>
      <c r="E9" s="190" t="inlineStr">
        <is>
          <t>🔗약관검색</t>
        </is>
      </c>
    </row>
    <row r="10">
      <c r="A10" t="inlineStr">
        <is>
          <t>메리츠화재</t>
        </is>
      </c>
      <c r="B10" t="inlineStr">
        <is>
          <t>특정 전염병치료비</t>
        </is>
      </c>
      <c r="C10" t="n">
        <v>10</v>
      </c>
      <c r="D10" t="inlineStr"/>
      <c r="E10" s="190" t="inlineStr">
        <is>
          <t>🔗약관검색</t>
        </is>
      </c>
    </row>
    <row r="11">
      <c r="A11" t="inlineStr">
        <is>
          <t>메리츠화재</t>
        </is>
      </c>
      <c r="B11" t="inlineStr">
        <is>
          <t>5대고액치료비암진단비</t>
        </is>
      </c>
      <c r="C11" t="n">
        <v>3000</v>
      </c>
      <c r="D11" t="inlineStr"/>
      <c r="E11" s="190" t="inlineStr">
        <is>
          <t>🔗약관검색</t>
        </is>
      </c>
    </row>
    <row r="12">
      <c r="A12" t="inlineStr">
        <is>
          <t>메리츠화재</t>
        </is>
      </c>
      <c r="B12" t="inlineStr">
        <is>
          <t>다발성소아암진단비</t>
        </is>
      </c>
      <c r="C12" t="n">
        <v>500</v>
      </c>
      <c r="D12" t="inlineStr"/>
      <c r="E12" s="190" t="inlineStr">
        <is>
          <t>🔗약관검색</t>
        </is>
      </c>
    </row>
    <row r="13">
      <c r="A13" t="inlineStr">
        <is>
          <t>메리츠화재</t>
        </is>
      </c>
      <c r="B13" t="inlineStr">
        <is>
          <t>상해흉터복원수술비</t>
        </is>
      </c>
      <c r="C13" t="n">
        <v>500</v>
      </c>
      <c r="D13" t="inlineStr"/>
      <c r="E13" s="190" t="inlineStr">
        <is>
          <t>🔗약관검색</t>
        </is>
      </c>
    </row>
    <row r="14">
      <c r="A14" t="inlineStr">
        <is>
          <t>메리츠화재</t>
        </is>
      </c>
      <c r="B14" t="inlineStr">
        <is>
          <t>5대장기이식수술비</t>
        </is>
      </c>
      <c r="C14" t="n">
        <v>2000</v>
      </c>
      <c r="D14" t="inlineStr"/>
      <c r="E14" s="190" t="inlineStr">
        <is>
          <t>🔗약관검색</t>
        </is>
      </c>
    </row>
    <row r="15">
      <c r="A15" t="inlineStr">
        <is>
          <t>메리츠화재</t>
        </is>
      </c>
      <c r="B15" t="inlineStr">
        <is>
          <t>각막이식수술비</t>
        </is>
      </c>
      <c r="C15" t="n">
        <v>1000</v>
      </c>
      <c r="D15" t="inlineStr"/>
      <c r="E15" s="190" t="inlineStr">
        <is>
          <t>🔗약관검색</t>
        </is>
      </c>
    </row>
    <row r="16">
      <c r="A16" t="inlineStr">
        <is>
          <t>메리츠화재</t>
        </is>
      </c>
      <c r="B16" t="inlineStr">
        <is>
          <t>모야모야병개두수술비</t>
        </is>
      </c>
      <c r="C16" t="n">
        <v>1000</v>
      </c>
      <c r="D16" t="inlineStr"/>
      <c r="E16" s="190" t="inlineStr">
        <is>
          <t>🔗약관검색</t>
        </is>
      </c>
    </row>
    <row r="17">
      <c r="A17" t="inlineStr">
        <is>
          <t>메리츠화재</t>
        </is>
      </c>
      <c r="B17" t="inlineStr">
        <is>
          <t>소아탈장수술비</t>
        </is>
      </c>
      <c r="C17" t="n">
        <v>20</v>
      </c>
      <c r="D17" t="inlineStr"/>
      <c r="E17" s="190" t="inlineStr">
        <is>
          <t>🔗약관검색</t>
        </is>
      </c>
    </row>
    <row r="18">
      <c r="A18" t="inlineStr">
        <is>
          <t>메리츠화재</t>
        </is>
      </c>
      <c r="B18" t="inlineStr">
        <is>
          <t>조혈모세포이식수술비</t>
        </is>
      </c>
      <c r="C18" t="n">
        <v>2000</v>
      </c>
      <c r="D18" t="inlineStr"/>
      <c r="E18" s="190" t="inlineStr">
        <is>
          <t>🔗약관검색</t>
        </is>
      </c>
    </row>
    <row r="19">
      <c r="A19" t="inlineStr">
        <is>
          <t>메리츠화재</t>
        </is>
      </c>
      <c r="B19" t="inlineStr">
        <is>
          <t>충수염수술비</t>
        </is>
      </c>
      <c r="C19" t="n">
        <v>20</v>
      </c>
      <c r="D19" t="inlineStr"/>
      <c r="E19" s="190" t="inlineStr">
        <is>
          <t>🔗약관검색</t>
        </is>
      </c>
    </row>
    <row r="20">
      <c r="A20" t="inlineStr">
        <is>
          <t>메리츠화재</t>
        </is>
      </c>
      <c r="B20" t="inlineStr">
        <is>
          <t>담보명 가입금액</t>
        </is>
      </c>
      <c r="C20" t="n">
        <v>0</v>
      </c>
      <c r="D20" t="inlineStr"/>
      <c r="E20" s="190" t="inlineStr">
        <is>
          <t>🔗약관검색</t>
        </is>
      </c>
    </row>
    <row r="21">
      <c r="A21" t="inlineStr">
        <is>
          <t>메리츠화재</t>
        </is>
      </c>
      <c r="B21" t="inlineStr">
        <is>
          <t>（단위 : 만원）담보명 가입금액</t>
        </is>
      </c>
      <c r="C21" t="n">
        <v>0</v>
      </c>
      <c r="D21" t="inlineStr"/>
      <c r="E21" s="190" t="inlineStr">
        <is>
          <t>🔗약관검색</t>
        </is>
      </c>
    </row>
    <row r="22">
      <c r="A22" t="inlineStr">
        <is>
          <t>메리츠화재</t>
        </is>
      </c>
      <c r="B22" t="inlineStr">
        <is>
          <t>[세부보충]약값</t>
        </is>
      </c>
      <c r="C22" t="n">
        <v>5</v>
      </c>
      <c r="D22" t="inlineStr"/>
      <c r="E22" s="190" t="inlineStr">
        <is>
          <t>🔗약관검색</t>
        </is>
      </c>
    </row>
    <row r="26">
      <c r="A26" t="inlineStr">
        <is>
          <t>[근거] 실손 세대 판정 (가입일 vs 상품코드 — 상품코드 우선)</t>
        </is>
      </c>
    </row>
    <row r="27">
      <c r="A27" t="inlineStr">
        <is>
          <t>회사</t>
        </is>
      </c>
      <c r="B27" t="inlineStr">
        <is>
          <t>가입일</t>
        </is>
      </c>
      <c r="C27" t="inlineStr">
        <is>
          <t>상품코드(YYMM)</t>
        </is>
      </c>
      <c r="D27" t="inlineStr">
        <is>
          <t>판정</t>
        </is>
      </c>
    </row>
    <row r="28">
      <c r="A28" t="inlineStr">
        <is>
          <t>메리츠화재</t>
        </is>
      </c>
      <c r="B28" t="inlineStr">
        <is>
          <t>2013.12.30</t>
        </is>
      </c>
      <c r="C28" t="inlineStr">
        <is>
          <t>1307</t>
        </is>
      </c>
      <c r="D28" t="inlineStr">
        <is>
          <t>2세대</t>
        </is>
      </c>
    </row>
    <row r="30">
      <c r="A30" t="inlineStr">
        <is>
          <t>[근거] 심장 블록 기재 내역 (원 담보명 → 기재 행) — 별첨 원문 그대로</t>
        </is>
      </c>
    </row>
    <row r="31">
      <c r="A31" t="inlineStr">
        <is>
          <t>회사</t>
        </is>
      </c>
      <c r="B31" t="inlineStr">
        <is>
          <t>별첨 원 담보명</t>
        </is>
      </c>
      <c r="C31" t="inlineStr">
        <is>
          <t>기재 행</t>
        </is>
      </c>
      <c r="D31" t="inlineStr">
        <is>
          <t>금액(만원)</t>
        </is>
      </c>
    </row>
    <row r="32">
      <c r="A32" t="inlineStr">
        <is>
          <t>메리츠화재</t>
        </is>
      </c>
      <c r="B32" t="inlineStr">
        <is>
          <t>뇌질환진단비（|）</t>
        </is>
      </c>
      <c r="C32" t="inlineStr">
        <is>
          <t>뇌혈관진단비</t>
        </is>
      </c>
      <c r="D32" t="n">
        <v>600</v>
      </c>
    </row>
    <row r="33">
      <c r="A33" t="inlineStr">
        <is>
          <t>메리츠화재</t>
        </is>
      </c>
      <c r="B33" t="inlineStr">
        <is>
          <t>뇌질환진단비（ II）</t>
        </is>
      </c>
      <c r="C33" t="inlineStr">
        <is>
          <t>뇌졸증진단비</t>
        </is>
      </c>
      <c r="D33" t="n">
        <v>2400</v>
      </c>
    </row>
    <row r="34">
      <c r="A34" t="inlineStr">
        <is>
          <t>메리츠화재</t>
        </is>
      </c>
      <c r="B34" t="inlineStr">
        <is>
          <t>심장질환진단비（ II）</t>
        </is>
      </c>
      <c r="C34" t="inlineStr">
        <is>
          <t>급성심근경색</t>
        </is>
      </c>
      <c r="D34" t="n">
        <v>3000</v>
      </c>
    </row>
    <row r="35">
      <c r="A35" t="inlineStr">
        <is>
          <t>메리츠화재</t>
        </is>
      </c>
      <c r="B35" t="inlineStr">
        <is>
          <t>심장질환진단비（I）</t>
        </is>
      </c>
      <c r="C35" t="inlineStr">
        <is>
          <t>허혈성 진단비</t>
        </is>
      </c>
      <c r="D35" t="n">
        <v>600</v>
      </c>
    </row>
    <row r="36">
      <c r="A36" t="inlineStr">
        <is>
          <t>메리츠화재</t>
        </is>
      </c>
      <c r="B36" t="inlineStr">
        <is>
          <t>어린이개흉심장수술비</t>
        </is>
      </c>
      <c r="C36" t="inlineStr">
        <is>
          <t>심장수술비</t>
        </is>
      </c>
      <c r="D36" t="n">
        <v>300</v>
      </c>
    </row>
    <row r="38">
      <c r="A38" t="inlineStr">
        <is>
          <t>[근거] 수술 블록 기재 내역 (원 담보명 → 기재 행/슬롯) — 별첨 원문 그대로</t>
        </is>
      </c>
    </row>
    <row r="39">
      <c r="A39" t="inlineStr">
        <is>
          <t>회사</t>
        </is>
      </c>
      <c r="B39" t="inlineStr">
        <is>
          <t>별첨 원 담보명</t>
        </is>
      </c>
      <c r="C39" t="inlineStr">
        <is>
          <t>기재 행/슬롯</t>
        </is>
      </c>
      <c r="D39" t="inlineStr">
        <is>
          <t>금액(만원)</t>
        </is>
      </c>
    </row>
    <row r="40">
      <c r="A40" t="inlineStr">
        <is>
          <t>메리츠화재</t>
        </is>
      </c>
      <c r="B40" t="inlineStr">
        <is>
          <t>질병수술비</t>
        </is>
      </c>
      <c r="C40" t="inlineStr">
        <is>
          <t>질병수술비</t>
        </is>
      </c>
      <c r="D40" t="n">
        <v>30</v>
      </c>
    </row>
    <row r="41">
      <c r="A41" t="inlineStr">
        <is>
          <t>메리츠화재</t>
        </is>
      </c>
      <c r="B41" t="inlineStr">
        <is>
          <t>암수술비</t>
        </is>
      </c>
      <c r="C41" t="inlineStr">
        <is>
          <t>암수술</t>
        </is>
      </c>
      <c r="D41" t="n">
        <v>500</v>
      </c>
    </row>
    <row r="42">
      <c r="A42" t="inlineStr">
        <is>
          <t>메리츠화재</t>
        </is>
      </c>
      <c r="B42" t="inlineStr">
        <is>
          <t>상해수술비</t>
        </is>
      </c>
      <c r="C42" t="inlineStr">
        <is>
          <t>상해수술비</t>
        </is>
      </c>
      <c r="D42" t="n">
        <v>30</v>
      </c>
    </row>
    <row r="43">
      <c r="A43" t="inlineStr">
        <is>
          <t>메리츠화재</t>
        </is>
      </c>
      <c r="B43" t="inlineStr">
        <is>
          <t>중대한특정상해수술비</t>
        </is>
      </c>
      <c r="C43" t="inlineStr">
        <is>
          <t>중대한상해수술비</t>
        </is>
      </c>
      <c r="D43" t="n">
        <v>500</v>
      </c>
    </row>
    <row r="44">
      <c r="A44" t="inlineStr">
        <is>
          <t>메리츠화재</t>
        </is>
      </c>
      <c r="B44" t="inlineStr">
        <is>
          <t>어린이개흉심장수술비</t>
        </is>
      </c>
      <c r="C44" t="inlineStr">
        <is>
          <t>심장수술비</t>
        </is>
      </c>
      <c r="D44" t="n">
        <v>300</v>
      </c>
    </row>
    <row r="46">
      <c r="A46" t="inlineStr">
        <is>
          <t>[근거] 암 블록 기재 내역 (원 담보명 → 기재 행) — 별첨 원문 그대로</t>
        </is>
      </c>
    </row>
    <row r="47">
      <c r="A47" t="inlineStr">
        <is>
          <t>회사</t>
        </is>
      </c>
      <c r="B47" t="inlineStr">
        <is>
          <t>별첨 원 담보명</t>
        </is>
      </c>
      <c r="C47" t="inlineStr">
        <is>
          <t>기재 행</t>
        </is>
      </c>
      <c r="D47" t="inlineStr">
        <is>
          <t>금액(만원)</t>
        </is>
      </c>
    </row>
    <row r="48">
      <c r="A48" t="inlineStr">
        <is>
          <t>메리츠화재</t>
        </is>
      </c>
      <c r="B48" t="inlineStr">
        <is>
          <t>양성뇌종양진단비</t>
        </is>
      </c>
      <c r="C48" t="inlineStr">
        <is>
          <t>유사암(갑.기.경.제)</t>
        </is>
      </c>
      <c r="D48" t="n">
        <v>300</v>
      </c>
    </row>
    <row r="49">
      <c r="A49" t="inlineStr">
        <is>
          <t>메리츠화재</t>
        </is>
      </c>
      <c r="B49" t="inlineStr">
        <is>
          <t>암진단비</t>
        </is>
      </c>
      <c r="C49" t="inlineStr">
        <is>
          <t>일반암</t>
        </is>
      </c>
      <c r="D49" t="n">
        <v>3000</v>
      </c>
    </row>
    <row r="50">
      <c r="A50" t="inlineStr">
        <is>
          <t>메리츠화재</t>
        </is>
      </c>
      <c r="B50" t="inlineStr">
        <is>
          <t>암수술비</t>
        </is>
      </c>
      <c r="C50" t="inlineStr">
        <is>
          <t>암수술</t>
        </is>
      </c>
      <c r="D50" t="n">
        <v>500</v>
      </c>
    </row>
    <row r="51">
      <c r="A51" t="inlineStr">
        <is>
          <t>메리츠화재</t>
        </is>
      </c>
      <c r="B51" t="inlineStr">
        <is>
          <t>암입원일당 10 성장판손상유 발 교통사고부상치료 비</t>
        </is>
      </c>
      <c r="C51" t="inlineStr">
        <is>
          <t>암일당</t>
        </is>
      </c>
      <c r="D51" t="n">
        <v>10</v>
      </c>
    </row>
  </sheetData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  <hyperlink xmlns:r="http://schemas.openxmlformats.org/officeDocument/2006/relationships" ref="E18" r:id="rId11"/>
    <hyperlink xmlns:r="http://schemas.openxmlformats.org/officeDocument/2006/relationships" ref="E19" r:id="rId12"/>
    <hyperlink xmlns:r="http://schemas.openxmlformats.org/officeDocument/2006/relationships" ref="E20" r:id="rId13"/>
    <hyperlink xmlns:r="http://schemas.openxmlformats.org/officeDocument/2006/relationships" ref="E21" r:id="rId14"/>
    <hyperlink xmlns:r="http://schemas.openxmlformats.org/officeDocument/2006/relationships" ref="E22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language xmlns:dc="http://purl.org/dc/elements/1.1/">en-US</dc:language>
  <dcterms:created xmlns:dcterms="http://purl.org/dc/terms/" xmlns:xsi="http://www.w3.org/2001/XMLSchema-instance" xsi:type="dcterms:W3CDTF">2022-06-08T10:29:30Z</dcterms:created>
  <dcterms:modified xmlns:dcterms="http://purl.org/dc/terms/" xmlns:xsi="http://www.w3.org/2001/XMLSchema-instance" xsi:type="dcterms:W3CDTF">2026-07-04T23:11:59Z</dcterms:modified>
  <cp:lastModifiedBy>Windows</cp:lastModifiedBy>
  <cp:revision>0</cp:revision>
  <cp:lastPrinted>2026-05-12T16:05:05Z</cp:lastPrinted>
</cp:coreProperties>
</file>