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500" firstSheet="0" activeTab="0" autoFilterDateGrouping="1"/>
  </bookViews>
  <sheets>
    <sheet xmlns:r="http://schemas.openxmlformats.org/officeDocument/2006/relationships" name="보장분석" sheetId="1" state="visible" r:id="rId1"/>
    <sheet xmlns:r="http://schemas.openxmlformats.org/officeDocument/2006/relationships" name="법칙" sheetId="2" state="visible" r:id="rId2"/>
    <sheet xmlns:r="http://schemas.openxmlformats.org/officeDocument/2006/relationships" name="📋확인사항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17">
    <font>
      <name val="맑은 고딕"/>
      <charset val="129"/>
      <family val="3"/>
      <color rgb="FF000000"/>
      <sz val="11"/>
    </font>
    <font>
      <name val="Noto Sans CJK SC"/>
      <charset val="1"/>
      <family val="2"/>
      <b val="1"/>
      <sz val="16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b val="1"/>
      <color rgb="FF000000"/>
      <sz val="9"/>
    </font>
    <font>
      <name val="맑은 고딕"/>
      <charset val="129"/>
      <family val="3"/>
      <b val="1"/>
      <color rgb="FF000000"/>
      <sz val="9"/>
    </font>
    <font>
      <name val="Noto Sans CJK SC"/>
      <charset val="1"/>
      <family val="2"/>
      <b val="1"/>
      <color rgb="FF000000"/>
      <sz val="8"/>
    </font>
    <font>
      <name val="맑은 고딕"/>
      <charset val="129"/>
      <family val="3"/>
      <b val="1"/>
      <color rgb="FF000000"/>
      <sz val="8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00FF"/>
      <sz val="9"/>
    </font>
    <font>
      <name val="Noto Sans CJK SC"/>
      <family val="2"/>
      <b val="1"/>
      <sz val="13"/>
    </font>
    <font>
      <name val="Noto Sans CJK SC"/>
      <family val="2"/>
      <color rgb="FF000000"/>
      <sz val="11"/>
    </font>
    <font>
      <name val="맑은 고딕"/>
      <charset val="129"/>
      <family val="3"/>
      <sz val="8"/>
    </font>
    <font>
      <name val="맑은 고딕"/>
      <b val="1"/>
      <color rgb="00FFFFFF"/>
      <sz val="9"/>
    </font>
    <font>
      <name val="맑은 고딕"/>
      <color rgb="000070C0"/>
      <sz val="9"/>
    </font>
    <font>
      <name val="맑은 고딕"/>
      <color rgb="00000000"/>
      <sz val="9"/>
    </font>
    <font>
      <color rgb="000000FF"/>
      <u val="single"/>
    </font>
  </fonts>
  <fills count="12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00FF"/>
        <bgColor rgb="FF0000FF"/>
      </patternFill>
    </fill>
    <fill>
      <patternFill patternType="solid">
        <fgColor rgb="FF00CCFF"/>
        <bgColor rgb="FF33CC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000070C0"/>
      </patternFill>
    </fill>
    <fill>
      <patternFill patternType="solid">
        <fgColor rgb="00C00000"/>
      </patternFill>
    </fill>
    <fill>
      <patternFill patternType="solid">
        <fgColor rgb="002E75B6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0" fontId="4" fillId="8" borderId="11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0" fontId="4" fillId="8" borderId="31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0" fontId="4" fillId="8" borderId="33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7" borderId="38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5" fillId="2" borderId="39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5" fillId="2" borderId="24" applyAlignment="1" pivotButton="0" quotePrefix="0" xfId="0">
      <alignment horizontal="center" vertical="center"/>
    </xf>
    <xf numFmtId="0" fontId="4" fillId="7" borderId="43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5" fillId="2" borderId="44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48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38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6" pivotButton="0" quotePrefix="0" xfId="0"/>
    <xf numFmtId="0" fontId="4" fillId="7" borderId="43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24" pivotButton="0" quotePrefix="0" xfId="0"/>
    <xf numFmtId="0" fontId="4" fillId="2" borderId="4" applyAlignment="1" pivotButton="0" quotePrefix="0" xfId="0">
      <alignment horizontal="center" vertical="center"/>
    </xf>
    <xf numFmtId="0" fontId="0" fillId="0" borderId="15" pivotButton="0" quotePrefix="0" xfId="0"/>
    <xf numFmtId="0" fontId="6" fillId="2" borderId="11" applyAlignment="1" pivotButton="0" quotePrefix="0" xfId="0">
      <alignment horizontal="center" vertical="center"/>
    </xf>
    <xf numFmtId="0" fontId="0" fillId="0" borderId="22" pivotButton="0" quotePrefix="0" xfId="0"/>
    <xf numFmtId="0" fontId="4" fillId="7" borderId="38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4" fillId="7" borderId="51" applyAlignment="1" pivotButton="0" quotePrefix="0" xfId="0">
      <alignment horizontal="center" vertical="center"/>
    </xf>
    <xf numFmtId="0" fontId="0" fillId="0" borderId="51" pivotButton="0" quotePrefix="0" xfId="0"/>
    <xf numFmtId="0" fontId="4" fillId="7" borderId="52" applyAlignment="1" pivotButton="0" quotePrefix="0" xfId="0">
      <alignment horizontal="center" vertical="center"/>
    </xf>
    <xf numFmtId="0" fontId="0" fillId="0" borderId="52" pivotButton="0" quotePrefix="0" xfId="0"/>
    <xf numFmtId="0" fontId="1" fillId="2" borderId="53" applyAlignment="1" pivotButton="0" quotePrefix="0" xfId="0">
      <alignment horizontal="center" vertical="center"/>
    </xf>
    <xf numFmtId="0" fontId="0" fillId="0" borderId="54" pivotButton="0" quotePrefix="0" xfId="0"/>
    <xf numFmtId="164" fontId="13" fillId="9" borderId="54" applyAlignment="1" pivotButton="0" quotePrefix="0" xfId="0">
      <alignment horizontal="center" vertical="center" wrapText="1"/>
    </xf>
    <xf numFmtId="164" fontId="13" fillId="10" borderId="54" applyAlignment="1" pivotButton="0" quotePrefix="0" xfId="0">
      <alignment horizontal="center" vertical="center" wrapText="1"/>
    </xf>
    <xf numFmtId="0" fontId="13" fillId="9" borderId="54" applyAlignment="1" pivotButton="0" quotePrefix="0" xfId="0">
      <alignment horizontal="center" vertical="center" wrapText="1"/>
    </xf>
    <xf numFmtId="0" fontId="13" fillId="10" borderId="54" applyAlignment="1" pivotButton="0" quotePrefix="0" xfId="0">
      <alignment horizontal="center" vertical="center" wrapText="1"/>
    </xf>
    <xf numFmtId="0" fontId="13" fillId="11" borderId="55" applyAlignment="1" pivotButton="0" quotePrefix="0" xfId="0">
      <alignment horizontal="center" vertical="center" wrapText="1"/>
    </xf>
    <xf numFmtId="0" fontId="4" fillId="2" borderId="56" applyAlignment="1" pivotButton="0" quotePrefix="0" xfId="0">
      <alignment horizontal="center" vertical="center"/>
    </xf>
    <xf numFmtId="0" fontId="0" fillId="0" borderId="57" pivotButton="0" quotePrefix="0" xfId="0"/>
    <xf numFmtId="3" fontId="14" fillId="0" borderId="57" applyAlignment="1" pivotButton="0" quotePrefix="0" xfId="0">
      <alignment horizontal="center" vertical="center"/>
    </xf>
    <xf numFmtId="3" fontId="15" fillId="0" borderId="57" applyAlignment="1" pivotButton="0" quotePrefix="0" xfId="0">
      <alignment horizontal="center" vertical="center"/>
    </xf>
    <xf numFmtId="3" fontId="14" fillId="0" borderId="57" pivotButton="0" quotePrefix="0" xfId="0"/>
    <xf numFmtId="3" fontId="15" fillId="0" borderId="57" pivotButton="0" quotePrefix="0" xfId="0"/>
    <xf numFmtId="0" fontId="15" fillId="0" borderId="57" pivotButton="0" quotePrefix="0" xfId="0"/>
    <xf numFmtId="3" fontId="15" fillId="0" borderId="58" pivotButton="0" quotePrefix="0" xfId="0"/>
    <xf numFmtId="0" fontId="6" fillId="2" borderId="56" applyAlignment="1" pivotButton="0" quotePrefix="0" xfId="0">
      <alignment horizontal="center" vertical="center"/>
    </xf>
    <xf numFmtId="164" fontId="14" fillId="0" borderId="57" applyAlignment="1" pivotButton="0" quotePrefix="0" xfId="0">
      <alignment horizontal="center" vertical="center"/>
    </xf>
    <xf numFmtId="164" fontId="15" fillId="0" borderId="57" applyAlignment="1" pivotButton="0" quotePrefix="0" xfId="0">
      <alignment horizontal="center" vertical="center"/>
    </xf>
    <xf numFmtId="0" fontId="14" fillId="0" borderId="57" pivotButton="0" quotePrefix="0" xfId="0"/>
    <xf numFmtId="0" fontId="0" fillId="0" borderId="58" pivotButton="0" quotePrefix="0" xfId="0"/>
    <xf numFmtId="0" fontId="4" fillId="7" borderId="59" applyAlignment="1" pivotButton="0" quotePrefix="0" xfId="0">
      <alignment horizontal="center" vertical="center"/>
    </xf>
    <xf numFmtId="0" fontId="4" fillId="8" borderId="60" applyAlignment="1" pivotButton="0" quotePrefix="0" xfId="0">
      <alignment horizontal="center" vertical="center"/>
    </xf>
    <xf numFmtId="164" fontId="5" fillId="0" borderId="60" applyAlignment="1" pivotButton="0" quotePrefix="0" xfId="0">
      <alignment horizontal="center" vertical="center"/>
    </xf>
    <xf numFmtId="0" fontId="0" fillId="0" borderId="60" pivotButton="0" quotePrefix="0" xfId="0"/>
    <xf numFmtId="3" fontId="15" fillId="0" borderId="61" pivotButton="0" quotePrefix="0" xfId="0"/>
    <xf numFmtId="0" fontId="0" fillId="0" borderId="62" pivotButton="0" quotePrefix="0" xfId="0"/>
    <xf numFmtId="0" fontId="4" fillId="8" borderId="63" applyAlignment="1" pivotButton="0" quotePrefix="0" xfId="0">
      <alignment horizontal="center" vertical="center"/>
    </xf>
    <xf numFmtId="164" fontId="5" fillId="0" borderId="63" applyAlignment="1" pivotButton="0" quotePrefix="0" xfId="0">
      <alignment horizontal="center" vertical="center"/>
    </xf>
    <xf numFmtId="0" fontId="0" fillId="0" borderId="63" pivotButton="0" quotePrefix="0" xfId="0"/>
    <xf numFmtId="3" fontId="15" fillId="0" borderId="64" pivotButton="0" quotePrefix="0" xfId="0"/>
    <xf numFmtId="0" fontId="4" fillId="2" borderId="63" applyAlignment="1" pivotButton="0" quotePrefix="0" xfId="0">
      <alignment horizontal="center" vertical="center"/>
    </xf>
    <xf numFmtId="3" fontId="14" fillId="0" borderId="63" applyAlignment="1" pivotButton="0" quotePrefix="0" xfId="0">
      <alignment horizontal="center" vertical="center"/>
    </xf>
    <xf numFmtId="0" fontId="0" fillId="0" borderId="56" pivotButton="0" quotePrefix="0" xfId="0"/>
    <xf numFmtId="0" fontId="4" fillId="2" borderId="57" applyAlignment="1" pivotButton="0" quotePrefix="0" xfId="0">
      <alignment horizontal="center" vertical="center"/>
    </xf>
    <xf numFmtId="164" fontId="5" fillId="0" borderId="57" applyAlignment="1" pivotButton="0" quotePrefix="0" xfId="0">
      <alignment horizontal="center" vertical="center"/>
    </xf>
    <xf numFmtId="0" fontId="4" fillId="7" borderId="62" applyAlignment="1" pivotButton="0" quotePrefix="0" xfId="0">
      <alignment horizontal="center" vertical="center"/>
    </xf>
    <xf numFmtId="3" fontId="14" fillId="0" borderId="63" pivotButton="0" quotePrefix="0" xfId="0"/>
    <xf numFmtId="3" fontId="15" fillId="0" borderId="63" applyAlignment="1" pivotButton="0" quotePrefix="0" xfId="0">
      <alignment horizontal="center" vertical="center"/>
    </xf>
    <xf numFmtId="3" fontId="15" fillId="0" borderId="63" pivotButton="0" quotePrefix="0" xfId="0"/>
    <xf numFmtId="164" fontId="9" fillId="0" borderId="63" applyAlignment="1" pivotButton="0" quotePrefix="0" xfId="0">
      <alignment horizontal="center" vertical="center"/>
    </xf>
    <xf numFmtId="0" fontId="5" fillId="2" borderId="63" applyAlignment="1" pivotButton="0" quotePrefix="0" xfId="0">
      <alignment horizontal="center" vertical="center"/>
    </xf>
    <xf numFmtId="0" fontId="4" fillId="8" borderId="57" applyAlignment="1" pivotButton="0" quotePrefix="0" xfId="0">
      <alignment horizontal="center" vertical="center"/>
    </xf>
    <xf numFmtId="0" fontId="14" fillId="0" borderId="63" pivotButton="0" quotePrefix="0" xfId="0"/>
    <xf numFmtId="0" fontId="15" fillId="0" borderId="64" pivotButton="0" quotePrefix="0" xfId="0"/>
    <xf numFmtId="0" fontId="0" fillId="0" borderId="59" pivotButton="0" quotePrefix="0" xfId="0"/>
    <xf numFmtId="0" fontId="4" fillId="2" borderId="60" applyAlignment="1" pivotButton="0" quotePrefix="0" xfId="0">
      <alignment horizontal="center" vertical="center"/>
    </xf>
    <xf numFmtId="3" fontId="15" fillId="0" borderId="60" applyAlignment="1" pivotButton="0" quotePrefix="0" xfId="0">
      <alignment horizontal="center" vertical="center"/>
    </xf>
    <xf numFmtId="3" fontId="14" fillId="0" borderId="60" pivotButton="0" quotePrefix="0" xfId="0"/>
    <xf numFmtId="0" fontId="15" fillId="0" borderId="63" pivotButton="0" quotePrefix="0" xfId="0"/>
    <xf numFmtId="0" fontId="5" fillId="2" borderId="57" applyAlignment="1" pivotButton="0" quotePrefix="0" xfId="0">
      <alignment horizontal="center" vertical="center"/>
    </xf>
    <xf numFmtId="0" fontId="4" fillId="7" borderId="56" applyAlignment="1" pivotButton="0" quotePrefix="0" xfId="0">
      <alignment horizontal="center" vertical="center"/>
    </xf>
    <xf numFmtId="164" fontId="9" fillId="0" borderId="57" applyAlignment="1" pivotButton="0" quotePrefix="0" xfId="0">
      <alignment horizontal="center" vertical="center"/>
    </xf>
    <xf numFmtId="0" fontId="15" fillId="0" borderId="58" pivotButton="0" quotePrefix="0" xfId="0"/>
    <xf numFmtId="0" fontId="16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arch.naver.com/search.naver?query=%EC%9A%B0%EC%A0%95%EC%82%AC%EC%97%85%EB%B3%B8%EB%B6%80%20%EC%9A%B0%EC%B2%B4%EA%B5%AD%EC%9A%94%EC%96%91%EB%B3%B4%ED%97%98%20%EA%B0%B1%EC%8B%A0%ED%98%95%20%EC%9E%A5%EA%B8%B0%EC%9A%94%EC%96%91%EB%B3%B4%ED%97%98%EA%B8%88%20%EC%95%BD%EA%B4%80%20%EB%B3%B4%EC%9E%A5%EB%82%B4%EC%9A%A9" TargetMode="External" Id="rId1"/><Relationship Type="http://schemas.openxmlformats.org/officeDocument/2006/relationships/hyperlink" Target="https://search.naver.com/search.naver?query=%EC%9A%B0%EC%A0%95%EC%82%AC%EC%97%85%EB%B3%B8%EB%B6%80%20%EC%9A%B0%EC%B2%B4%EA%B5%AD%EC%95%88%EC%A0%84%EB%B2%A8%ED%8A%B8%EB%B3%B4%ED%97%98%20%EA%B5%90%ED%86%B5%EC%9E%AC%ED%95%B4%EC%9E%AC%ED%99%9C%EC%B9%98%EB%A3%8C%EC%9E%90%EA%B8%88%20%EC%95%BD%EA%B4%80%20%EB%B3%B4%EC%9E%A5%EB%82%B4%EC%9A%A9" TargetMode="External" Id="rId2"/><Relationship Type="http://schemas.openxmlformats.org/officeDocument/2006/relationships/hyperlink" Target="https://search.naver.com/search.naver?query=%EC%9A%B0%EC%A0%95%EC%82%AC%EC%97%85%EB%B3%B8%EB%B6%80%20%EC%9A%B0%EC%B2%B4%EA%B5%AD%EC%95%88%EC%A0%84%EB%B2%A8%ED%8A%B8%EB%B3%B4%ED%97%98%20%EA%B3%A8%EC%A0%88%EC%B9%98%EB%A3%8C%EC%9E%90%EA%B8%88%20%EC%95%BD%EA%B4%80%20%EB%B3%B4%EC%9E%A5%EB%82%B4%EC%9A%A9" TargetMode="External" Id="rId3"/><Relationship Type="http://schemas.openxmlformats.org/officeDocument/2006/relationships/hyperlink" Target="https://search.naver.com/search.naver?query=%EC%9A%B0%EC%A0%95%EC%82%AC%EC%97%85%EB%B3%B8%EB%B6%80%20%EC%9A%B0%EC%B2%B4%EA%B5%AD%EC%95%88%EC%A0%84%EB%B2%A8%ED%8A%B8%EB%B3%B4%ED%97%98%20%EC%99%B8%EB%AA%A8%EC%88%98%EC%88%A0%EC%9E%90%EA%B8%88%20%EC%95%BD%EA%B4%80%20%EB%B3%B4%EC%9E%A5%EB%82%B4%EC%9A%A9" TargetMode="External" Id="rId4"/><Relationship Type="http://schemas.openxmlformats.org/officeDocument/2006/relationships/hyperlink" Target="https://search.naver.com/search.naver?query=%EC%9A%B0%EC%A0%95%EC%82%AC%EC%97%85%EB%B3%B8%EB%B6%80%20%EC%9A%B0%EC%B2%B4%EA%B5%AD%EC%95%88%EC%A0%84%EB%B2%A8%ED%8A%B8%EB%B3%B4%ED%97%98%20%EC%9E%AC%ED%95%B4%EC%9E%85%EC%9B%90%20%EC%95%BD%EA%B4%80%20%EB%B3%B4%EC%9E%A5%EB%82%B4%EC%9A%A9" TargetMode="External" Id="rId5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A%B0%84%EA%B2%BD%EB%B3%80%EC%A6%9D%EC%A7%84%EB%8B%A8%EB%B9%84%20%EC%95%BD%EA%B4%80%20%EB%B3%B4%EC%9E%A5%EB%82%B4%EC%9A%A9" TargetMode="External" Id="rId6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A%B0%84%EB%86%8D%EC%96%91%EC%A7%84%EB%8B%A8%EB%B9%84%20%EC%95%BD%EA%B4%80%20%EB%B3%B4%EC%9E%A5%EB%82%B4%EC%9A%A9" TargetMode="External" Id="rId7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C%A7%80%EB%B0%A9%EA%B0%84%EB%8C%80%EC%83%81%EC%A7%88%EB%B3%91%EA%B4%80%20%EC%95%BD%EA%B4%80%20%EB%B3%B4%EC%9E%A5%EB%82%B4%EC%9A%A9" TargetMode="External" Id="rId8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D%81%AC%EB%A1%A0%EB%B3%91%EB%B0%8F%EA%B6%A4%EC%96%91%EC%84%B1%EB%8C%80%20%EC%95%BD%EA%B4%80%20%EB%B3%B4%EC%9E%A5%EB%82%B4%EC%9A%A9" TargetMode="External" Id="rId9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D%86%B5%ED%92%8D%EC%A7%84%EB%8B%A8%EB%B9%84%20%EC%95%BD%EA%B4%80%20%EB%B3%B4%EC%9E%A5%EB%82%B4%EC%9A%A9" TargetMode="External" Id="rId10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B%8C%80%EC%9E%A5%EC%9A%A9%EC%A2%85%EC%A0%9C%EA%B1%B0%EC%88%98%EC%88%A0%20%EC%95%BD%EA%B4%80%20%EB%B3%B4%EC%9E%A5%EB%82%B4%EC%9A%A9" TargetMode="External" Id="rId11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C%97%AD%ED%96%89%EC%84%B1%EB%8B%B4%EC%B7%8C%EA%B4%80%EB%82%B4%EC%8B%9C%20%EC%95%BD%EA%B4%80%20%EB%B3%B4%EC%9E%A5%EB%82%B4%EC%9A%A9" TargetMode="External" Id="rId12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A%B8%89%EC%84%B1%EA%B0%84%EC%97%BC%28A%2CB%20%EC%95%BD%EA%B4%80%20%EB%B3%B4%EC%9E%A5%EB%82%B4%EC%9A%A9" TargetMode="External" Id="rId13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D%8A%B9%EC%A0%954%EB%8C%80%EC%86%8C%ED%99%94%EA%B3%84%EC%A7%88%20%EC%95%BD%EA%B4%80%20%EB%B3%B4%EC%9E%A5%EB%82%B4%EC%9A%A9" TargetMode="External" Id="rId14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A%B8%89%EC%84%B1%EC%B7%8C%EC%9E%A5%EC%97%BC%EC%A7%84%EB%8B%A8%EB%B9%84%20%EC%95%BD%EA%B4%80%20%EB%B3%B4%EC%9E%A5%EB%82%B4%EC%9A%A9" TargetMode="External" Id="rId15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B%8C%80%EC%83%81%ED%8F%AC%EC%A7%84%EC%A7%84%EB%8B%A8%EB%B9%84%20%EC%95%BD%EA%B4%80%20%EB%B3%B4%EC%9E%A5%EB%82%B4%EC%9A%A9" TargetMode="External" Id="rId16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B%A7%90%EA%B8%B0%EA%B0%84%EA%B2%BD%ED%99%94%EC%A7%84%EB%8B%A8%EB%B9%84%20%EC%95%BD%EA%B4%80%20%EB%B3%B4%EC%9E%A5%EB%82%B4%EC%9A%A9" TargetMode="External" Id="rId17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C%9A%94%EB%A1%9C%EA%B2%B0%EC%84%9D%EC%A7%84%EB%8B%A8%EB%B9%84%20%EC%95%BD%EA%B4%80%20%EB%B3%B4%EC%9E%A5%EB%82%B4%EC%9A%A9" TargetMode="External" Id="rId18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C%9C%84%20%EC%8B%AD%EC%9D%B4%EC%A7%80%EC%9E%A5%20%EC%86%8C%20%EC%95%BD%EA%B4%80%20%EB%B3%B4%EC%9E%A5%EB%82%B4%EC%9A%A9" TargetMode="External" Id="rId19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C%A7%80%EB%B0%A9%EA%B0%84%EB%8C%80%EC%83%81%EC%A7%88%EB%B3%91%EA%B4%80%20%EC%95%BD%EA%B4%80%20%EB%B3%B4%EC%9E%A5%EB%82%B4%EC%9A%A9" TargetMode="External" Id="rId20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D%8A%B9%EC%A0%956%EB%8C%80%EC%86%8C%ED%99%94%EA%B3%84%EC%A7%88%20%EC%95%BD%EA%B4%80%20%EB%B3%B4%EC%9E%A5%EB%82%B4%EC%9A%A9" TargetMode="External" Id="rId21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D%8A%B9%EC%A0%95%EB%8B%B4%EB%82%AD%20%EB%8B%B4%EA%B4%80%EC%97%BC%20%EC%95%BD%EA%B4%80%20%EB%B3%B4%EC%9E%A5%EB%82%B4%EC%9A%A9" TargetMode="External" Id="rId22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D%8A%B9%EC%A0%95%EC%B2%9C%EA%B3%B5%EC%A7%84%EB%8B%A8%EB%B9%84%20%EC%95%BD%EA%B4%80%20%EB%B3%B4%EC%9E%A5%EB%82%B4%EC%9A%A9" TargetMode="External" Id="rId23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D%8A%B9%EC%A0%95%ED%8C%A8%ED%98%88%EC%A6%9D%EC%A7%84%EB%8B%A8%EB%B9%84%20%EC%95%BD%EA%B4%80%20%EB%B3%B4%EC%9E%A5%EB%82%B4%EC%9A%A9" TargetMode="External" Id="rId24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A%B0%84%EC%A7%88%ED%99%98%EC%9E%85%EC%9B%90%EC%9D%BC%EB%8B%B9%28%20%EC%95%BD%EA%B4%80%20%EB%B3%B4%EC%9E%A5%EB%82%B4%EC%9A%A9" TargetMode="External" Id="rId25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20%EA%B2%BD%ED%94%BC%EC%A0%81%EB%8B%B4%EB%8F%84%20%EB%8B%B4%EA%B4%80%20%EC%95%BD%EA%B4%80%20%EB%B3%B4%EC%9E%A5%EB%82%B4%EC%9A%A9" TargetMode="External" Id="rId26"/><Relationship Type="http://schemas.openxmlformats.org/officeDocument/2006/relationships/hyperlink" Target="https://search.naver.com/search.naver?query=%EB%A9%94%EB%A6%AC%EC%B8%A0%ED%99%94%EC%9E%AC%20%EB%AC%B4%20%20%EB%A9%94%EB%A6%AC%EC%B8%A0%20%EC%86%8D%ED%8E%B8%ED%95%9C%20%EC%86%8C%ED%99%94%EA%B3%84%EC%A7%88%ED%99%98%EB%B3%B4%20%EA%B0%B1%EC%8B%A0%ED%98%95%ED%8A%B9%EC%A0%95%EC%86%8C%ED%99%94%EC%9E%A5%EA%B8%B0%28%EA%B0%84%2C%20%EC%95%BD%EA%B4%80%20%EB%B3%B4%EC%9E%A5%EB%82%B4%EC%9A%A9" TargetMode="External" Id="rId27"/><Relationship Type="http://schemas.openxmlformats.org/officeDocument/2006/relationships/hyperlink" Target="https://search.naver.com/search.naver?query=%EB%A9%94%EB%A6%AC%EC%B8%A0%ED%99%94%EC%9E%AC%20%EB%AC%B4%20%20%EB%A9%94%EB%A6%AC%EC%B8%A0%20%EB%98%90%20%EA%B1%B8%EB%A0%A4%EB%8F%84%20%EB%98%90%20%EB%B0%9B%EB%8A%94%20%EA%B0%B1%EC%8B%A0%ED%98%95%20%EC%95%94%EC%A7%81%EC%A0%91%EC%B9%98%EB%A3%8C%ED%86%B5%EC%9B%90%EC%9D%BC%20%EC%95%BD%EA%B4%80%20%EB%B3%B4%EC%9E%A5%EB%82%B4%EC%9A%A9" TargetMode="External" Id="rId28"/><Relationship Type="http://schemas.openxmlformats.org/officeDocument/2006/relationships/hyperlink" Target="https://search.naver.com/search.naver?query=%EB%A9%94%EB%A6%AC%EC%B8%A0%ED%99%94%EC%9E%AC%20%EB%AC%B4%20%20%EB%A9%94%EB%A6%AC%EC%B8%A0%20%ED%86%B5%ED%95%A9%EA%B0%84%ED%8E%B8%EA%B1%B4%EA%B0%95%EB%B3%B4%ED%97%98%20%ED%9D%AC%EA%B7%80%EB%82%9C%EC%B9%98%EC%84%B17%EB%8C%80%EC%A7%88%ED%99%98%EC%A7%84%EB%8B%A8%EB%B9%84%20%EC%95%BD%EA%B4%80%20%EB%B3%B4%EC%9E%A5%EB%82%B4%EC%9A%A9" TargetMode="External" Id="rId29"/><Relationship Type="http://schemas.openxmlformats.org/officeDocument/2006/relationships/hyperlink" Target="https://search.naver.com/search.naver?query=%EB%A9%94%EB%A6%AC%EC%B8%A0%ED%99%94%EC%9E%AC%20%EB%AC%B4%20%20%EB%A9%94%EB%A6%AC%EC%B8%A0%20%ED%86%B5%ED%95%A9%EA%B0%84%ED%8E%B8%EA%B1%B4%EA%B0%95%EB%B3%B4%ED%97%98%20%EC%B6%A9%EC%88%98%EC%97%BC%EC%88%98%EC%88%A0%EB%B9%84%28%ED%86%B5%ED%95%A9%EA%B0%84%ED%8E%B8%EA%B0%80%20%EC%95%BD%EA%B4%80%20%EB%B3%B4%EC%9E%A5%EB%82%B4%EC%9A%A9" TargetMode="External" Id="rId30"/><Relationship Type="http://schemas.openxmlformats.org/officeDocument/2006/relationships/hyperlink" Target="https://search.naver.com/search.naver?query=%ED%95%9C%ED%99%94%EC%86%90%EB%B3%B4%20%ED%95%9C%ED%99%94%20%EA%B5%BF%EB%B0%B8%EB%9F%B0%EC%8A%A4%EC%A2%85%ED%95%A9%EB%B3%B4%ED%97%98%20%EC%97%B0%EB%A7%8C%EA%B8%B0%20%EA%B0%B1%EC%8B%A0%20%ED%8A%B9%EC%A0%95%EC%9C%A0%EC%82%AC%EC%95%94%EC%A7%84%EB%8B%A8%ED%9B%84%ED%8A%B9%EC%A0%95%EC%B9%98%EB%A3%8C%20%EC%95%BD%EA%B4%80%20%EB%B3%B4%EC%9E%A5%EB%82%B4%EC%9A%A9" TargetMode="External" Id="rId31"/><Relationship Type="http://schemas.openxmlformats.org/officeDocument/2006/relationships/hyperlink" Target="https://search.naver.com/search.naver?query=%ED%95%9C%ED%99%94%EC%86%90%EB%B3%B4%20%ED%95%9C%ED%99%94%20%EA%B5%BF%EB%B0%B8%EB%9F%B0%EC%8A%A4%EC%A2%85%ED%95%A9%EB%B3%B4%ED%97%98%20%EC%97%B0%EB%A7%8C%EA%B8%B0%20%EA%B0%B1%EC%8B%A0%20%EC%95%94%28%ED%8A%B9%EC%A0%95%EC%9C%A0%EC%82%AC%EC%95%94%ED%8F%AC%ED%95%A8%29%EC%A7%84%EB%8B%A8%20%EC%95%BD%EA%B4%80%20%EB%B3%B4%EC%9E%A5%EB%82%B4%EC%9A%A9" TargetMode="External" Id="rId32"/><Relationship Type="http://schemas.openxmlformats.org/officeDocument/2006/relationships/hyperlink" Target="https://search.naver.com/search.naver?query=%ED%95%9C%ED%99%94%EC%86%90%EB%B3%B4%20%ED%95%9C%ED%99%94%20%EA%B5%BF%EB%B0%B8%EB%9F%B0%EC%8A%A4%EC%A2%85%ED%95%A9%EB%B3%B4%ED%97%98%20%EC%97%B0%EB%A7%8C%EA%B8%B0%20%EA%B0%B1%EC%8B%A0%20%EC%95%94%28%ED%8A%B9%EC%A0%95%EC%9C%A0%EC%82%AC%EC%95%94%ED%8F%AC%ED%95%A8%29%EC%A7%84%EB%8B%A8%20%EC%95%BD%EA%B4%80%20%EB%B3%B4%EC%9E%A5%EB%82%B4%EC%9A%A9" TargetMode="External" Id="rId33"/><Relationship Type="http://schemas.openxmlformats.org/officeDocument/2006/relationships/hyperlink" Target="https://search.naver.com/search.naver?query=%ED%95%9C%ED%99%94%EC%86%90%EB%B3%B4%20%ED%95%9C%ED%99%94%20%EA%B5%BF%EB%B0%B8%EB%9F%B0%EC%8A%A4%EC%A2%85%ED%95%A9%EB%B3%B4%ED%97%98%20%EC%97%B0%EB%A7%8C%EA%B8%B0%20%EA%B0%B1%EC%8B%A0%20%EC%95%94%284%EB%8C%80%EC%9C%A0%EC%82%AC%EC%95%94%EC%A0%9C%EC%99%B8%29%EC%A7%84%EB%8B%A8%20%EC%95%BD%EA%B4%80%20%EB%B3%B4%EC%9E%A5%EB%82%B4%EC%9A%A9" TargetMode="External" Id="rId34"/><Relationship Type="http://schemas.openxmlformats.org/officeDocument/2006/relationships/hyperlink" Target="https://search.naver.com/search.naver?query=%ED%95%9C%ED%99%94%EC%86%90%EB%B3%B4%20%ED%95%9C%ED%99%94%20%EA%B5%BF%EB%B0%B8%EB%9F%B0%EC%8A%A4%EC%A2%85%ED%95%A9%EB%B3%B4%ED%97%98%20%EC%97%B0%EB%A7%8C%EA%B8%B0%20%EA%B0%B1%EC%8B%A0%20%EC%95%94%28%ED%8A%B9%EC%A0%95%EC%9C%A0%EC%82%AC%EC%95%94%ED%8F%AC%ED%95%A8%29%EC%A7%84%EB%8B%A8%20%EC%95%BD%EA%B4%80%20%EB%B3%B4%EC%9E%A5%EB%82%B4%EC%9A%A9" TargetMode="External" Id="rId35"/><Relationship Type="http://schemas.openxmlformats.org/officeDocument/2006/relationships/hyperlink" Target="https://search.naver.com/search.naver?query=%ED%95%9C%ED%99%94%EC%86%90%EB%B3%B4%20%ED%95%9C%ED%99%94%20%EA%B5%BF%EB%B0%B8%EB%9F%B0%EC%8A%A4%EC%A2%85%ED%95%A9%EB%B3%B4%ED%97%98%20%EC%97%B0%EB%A7%8C%EA%B8%B0%20%EA%B0%B1%EC%8B%A0%20%EC%95%94%28%ED%8A%B9%EC%A0%95%EC%9C%A0%EC%82%AC%EC%95%94%ED%8F%AC%ED%95%A8%29%EC%A7%84%EB%8B%A8%20%EC%95%BD%EA%B4%80%20%EB%B3%B4%EC%9E%A5%EB%82%B4%EC%9A%A9" TargetMode="External" Id="rId36"/><Relationship Type="http://schemas.openxmlformats.org/officeDocument/2006/relationships/hyperlink" Target="https://search.naver.com/search.naver?query=%ED%95%9C%ED%99%94%EC%86%90%EB%B3%B4%20%ED%95%9C%ED%99%94%20%EA%B5%BF%EB%B0%B8%EB%9F%B0%EC%8A%A4%EC%A2%85%ED%95%A9%EB%B3%B4%ED%97%98%20%EC%97%B0%EB%A7%8C%EA%B8%B0%20%EA%B0%B1%EC%8B%A0%20%EC%95%94%28%ED%8A%B9%EC%A0%95%EC%9C%A0%EC%82%AC%EC%95%94%ED%8F%AC%ED%95%A8%29%EC%A7%84%EB%8B%A8%20%EC%95%BD%EA%B4%80%20%EB%B3%B4%EC%9E%A5%EB%82%B4%EC%9A%A9" TargetMode="External" Id="rId37"/><Relationship Type="http://schemas.openxmlformats.org/officeDocument/2006/relationships/hyperlink" Target="https://search.naver.com/search.naver?query=%ED%95%9C%ED%99%94%EC%86%90%EB%B3%B4%20%ED%95%9C%ED%99%94%20%EA%B5%BF%EB%B0%B8%EB%9F%B0%EC%8A%A4%EC%A2%85%ED%95%A9%EB%B3%B4%ED%97%98%20%EC%97%B0%EB%A7%8C%EA%B8%B0%20%EA%B0%B1%EC%8B%A0%20%EC%95%94%28%ED%8A%B9%EC%A0%95%EC%9C%A0%EC%82%AC%EC%95%94%ED%8F%AC%ED%95%A8%29%EC%A7%84%EB%8B%A8%20%EC%95%BD%EA%B4%80%20%EB%B3%B4%EC%9E%A5%EB%82%B4%EC%9A%A9" TargetMode="External" Id="rId38"/><Relationship Type="http://schemas.openxmlformats.org/officeDocument/2006/relationships/hyperlink" Target="https://search.naver.com/search.naver?query=%ED%95%9C%ED%99%94%EC%86%90%EB%B3%B4%20%ED%95%9C%ED%99%94%20%EA%B5%BF%EB%B0%B8%EB%9F%B0%EC%8A%A4%EC%A2%85%ED%95%A9%EB%B3%B4%ED%97%98%20%EC%97%B0%EB%A7%8C%EA%B8%B0%20%EA%B0%B1%EC%8B%A0%20%EC%95%94%28%ED%8A%B9%EC%A0%95%EC%9C%A0%EC%82%AC%EC%95%94%ED%8F%AC%ED%95%A8%29%EC%A7%84%EB%8B%A8%20%EC%95%BD%EA%B4%80%20%EB%B3%B4%EC%9E%A5%EB%82%B4%EC%9A%A9" TargetMode="External" Id="rId39"/><Relationship Type="http://schemas.openxmlformats.org/officeDocument/2006/relationships/hyperlink" Target="https://search.naver.com/search.naver?query=%ED%95%9C%ED%99%94%EC%86%90%EB%B3%B4%20%ED%95%9C%ED%99%94%20%EA%B5%BF%EB%B0%B8%EB%9F%B0%EC%8A%A4%EC%A2%85%ED%95%A9%EB%B3%B4%ED%97%98%20%EC%97%B0%EB%A7%8C%EA%B8%B0%20%EA%B0%B1%EC%8B%A0%20%EC%95%94%28%ED%8A%B9%EC%A0%95%EC%9C%A0%EC%82%AC%EC%95%94%ED%8F%AC%ED%95%A8%29%EC%A7%84%EB%8B%A8%20%EC%95%BD%EA%B4%80%20%EB%B3%B4%EC%9E%A5%EB%82%B4%EC%9A%A9" TargetMode="External" Id="rId40"/><Relationship Type="http://schemas.openxmlformats.org/officeDocument/2006/relationships/hyperlink" Target="https://search.naver.com/search.naver?query=%ED%95%9C%ED%99%94%EC%86%90%EB%B3%B4%20%ED%95%9C%ED%99%94%20%EA%B5%BF%EB%B0%B8%EB%9F%B0%EC%8A%A4%EC%A2%85%ED%95%A9%EB%B3%B4%ED%97%98%20%EC%97%B0%EB%A7%8C%EA%B8%B0%20%EA%B0%B1%EC%8B%A0%20%EC%95%94%28%ED%8A%B9%EC%A0%95%EC%9C%A0%EC%82%AC%EC%95%94%ED%8F%AC%ED%95%A8%29%EC%A7%84%EB%8B%A8%20%EC%95%BD%EA%B4%80%20%EB%B3%B4%EC%9E%A5%EB%82%B4%EC%9A%A9" TargetMode="External" Id="rId41"/><Relationship Type="http://schemas.openxmlformats.org/officeDocument/2006/relationships/hyperlink" Target="https://search.naver.com/search.naver?query=%ED%95%9C%ED%99%94%EC%86%90%EB%B3%B4%20%ED%95%9C%ED%99%94%20%EA%B5%BF%EB%B0%B8%EB%9F%B0%EC%8A%A4%EC%A2%85%ED%95%A9%EB%B3%B4%ED%97%98%20%EC%97%B0%EB%A7%8C%EA%B8%B0%20%EA%B0%B1%EC%8B%A0%20%EC%95%94%28%ED%8A%B9%EC%A0%95%EC%9C%A0%EC%82%AC%EC%95%94%ED%8F%AC%ED%95%A8%29%EC%A7%84%EB%8B%A8%20%EC%95%BD%EA%B4%80%20%EB%B3%B4%EC%9E%A5%EB%82%B4%EC%9A%A9" TargetMode="External" Id="rId42"/><Relationship Type="http://schemas.openxmlformats.org/officeDocument/2006/relationships/hyperlink" Target="https://search.naver.com/search.naver?query=%ED%95%9C%ED%99%94%EC%86%90%EB%B3%B4%20%ED%95%9C%ED%99%94%203N5%20%EA%B0%84%ED%8E%B8%EA%B1%B4%EA%B0%95%EB%B3%B4%ED%97%98%20%EC%97%B0%EB%A7%8C%EA%B8%B0%20%EB%B3%B4%ED%97%98%EB%A3%8C%EB%82%A9%EC%9E%85%EB%A9%B4%EC%A0%9C%EB%8C%80%EC%83%81%EB%B3%B4%EC%9E%A5%28%20%EC%95%BD%EA%B4%80%20%EB%B3%B4%EC%9E%A5%EB%82%B4%EC%9A%A9" TargetMode="External" Id="rId43"/><Relationship Type="http://schemas.openxmlformats.org/officeDocument/2006/relationships/hyperlink" Target="https://search.naver.com/search.naver?query=%EC%82%BC%EC%84%B1%ED%99%94%EC%9E%AC%20%EB%AC%B4%EB%B0%B0%EB%8B%B9%20%EC%82%BC%EC%84%B1%ED%99%94%EC%9E%AC%20%EA%B0%84%ED%8E%B8%EB%B3%B4%ED%97%98%20%EC%83%88%EB%A1%9C%EA%B3%A0%EC%B9%A8%20%5B%EA%B0%84%ED%8E%B8%5D%ED%98%88%EC%A0%84%EC%A0%9C%EA%B1%B0%20%EC%B9%98%EB%A3%8C%EB%B9%84%20%EC%95%BD%EA%B4%80%20%EB%B3%B4%EC%9E%A5%EB%82%B4%EC%9A%A9" TargetMode="External" Id="rId44"/><Relationship Type="http://schemas.openxmlformats.org/officeDocument/2006/relationships/hyperlink" Target="https://search.naver.com/search.naver?query=%EC%82%BC%EC%84%B1%ED%99%94%EC%9E%AC%20%EB%AC%B4%EB%B0%B0%EB%8B%B9%20%EC%82%BC%EC%84%B1%ED%99%94%EC%9E%AC%20%EA%B0%84%ED%8E%B8%EB%B3%B4%ED%97%98%20%EC%83%88%EB%A1%9C%EA%B3%A0%EC%B9%A8%20%5B%EA%B0%84%ED%8E%B8%5D%EC%A2%85%ED%95%A9%EB%B3%91%EC%9B%90%202~3%20%EC%95%BD%EA%B4%80%20%EB%B3%B4%EC%9E%A5%EB%82%B4%EC%9A%A9" TargetMode="External" Id="rId45"/><Relationship Type="http://schemas.openxmlformats.org/officeDocument/2006/relationships/hyperlink" Target="https://search.naver.com/search.naver?query=%EC%82%BC%EC%84%B1%ED%99%94%EC%9E%AC%20%EB%AC%B4%EB%B0%B0%EB%8B%B9%20%EC%82%BC%EC%84%B1%ED%99%94%EC%9E%AC%20%EA%B0%84%ED%8E%B8%EB%B3%B4%ED%97%98%20%EC%83%88%EB%A1%9C%EA%B3%A0%EC%B9%A8%20%5B%EA%B0%84%ED%8E%B8%5D%EC%83%81%EA%B8%89%EC%A2%85%ED%95%A9%EB%B3%91%EC%9B%90%202%20%EC%95%BD%EA%B4%80%20%EB%B3%B4%EC%9E%A5%EB%82%B4%EC%9A%A9" TargetMode="External" Id="rId46"/><Relationship Type="http://schemas.openxmlformats.org/officeDocument/2006/relationships/hyperlink" Target="https://search.naver.com/search.naver?query=%EC%82%BC%EC%84%B1%ED%99%94%EC%9E%AC%20%EB%AC%B4%EB%B0%B0%EB%8B%B9%20%EC%82%BC%EC%84%B1%ED%99%94%EC%9E%AC%20%EA%B0%84%ED%8E%B8%EB%B3%B4%ED%97%98%20%EC%83%88%EB%A1%9C%EA%B3%A0%EC%B9%A8%20%5B%EA%B0%84%ED%8E%B8%5D2%EB%8C%80%EC%A3%BC%EC%9A%94%EA%B8%B0%EA%B4%80%EC%A7%88%EB%B3%91%20%EC%95%BD%EA%B4%80%20%EB%B3%B4%EC%9E%A5%EB%82%B4%EC%9A%A9" TargetMode="External" Id="rId47"/><Relationship Type="http://schemas.openxmlformats.org/officeDocument/2006/relationships/hyperlink" Target="https://search.naver.com/search.naver?query=%EC%82%BC%EC%84%B1%ED%99%94%EC%9E%AC%20%EB%AC%B4%EB%B0%B0%EB%8B%B9%20%EC%82%BC%EC%84%B1%ED%99%94%EC%9E%AC%20%EA%B0%84%ED%8E%B8%EB%B3%B4%ED%97%98%20%EC%83%88%EB%A1%9C%EA%B3%A0%EC%B9%A8%20%5B%EA%B0%84%ED%8E%B8%5D%ED%95%AD%EC%95%94%EB%B0%A9%EC%82%AC%EC%84%A0%E2%88%AC%EC%95%BD%EB%AC%BC%20%EC%95%BD%EA%B4%80%20%EB%B3%B4%EC%9E%A5%EB%82%B4%EC%9A%A9" TargetMode="External" Id="rId48"/><Relationship Type="http://schemas.openxmlformats.org/officeDocument/2006/relationships/hyperlink" Target="https://search.naver.com/search.naver?query=KB%EC%86%90%EB%B3%B4%20%EB%AC%B4%20KB%20The%EC%A2%8B%EC%9D%80%EB%8B%A5%ED%84%B0%ED%94%8C%EB%9F%AC%EC%8A%A4%EA%B1%B4%EA%B0%95%20%EC%B9%98%EC%95%84%ED%8C%8C%EC%A0%88%EC%A7%84%EB%8B%A8%EB%B9%84%28%EC%97%B0%EA%B0%843%ED%9A%8C%20%EC%95%BD%EA%B4%80%20%EB%B3%B4%EC%9E%A5%EB%82%B4%EC%9A%A9" TargetMode="External" Id="rId49"/><Relationship Type="http://schemas.openxmlformats.org/officeDocument/2006/relationships/hyperlink" Target="https://search.naver.com/search.naver?query=KB%EC%86%90%EB%B3%B4%20%EB%AC%B4%20KB%20The%EC%A2%8B%EC%9D%80%EB%8B%A5%ED%84%B0%ED%94%8C%EB%9F%AC%EC%8A%A4%EA%B1%B4%EA%B0%95%20%EC%A4%91%EB%8C%80%ED%95%9C%EC%8B%AC%ED%98%88%EA%B4%80%EC%88%98%EC%88%A0%EB%B9%84%28%EC%B5%9C%EC%B4%88%20%EC%95%BD%EA%B4%80%20%EB%B3%B4%EC%9E%A5%EB%82%B4%EC%9A%A9" TargetMode="External" Id="rId50"/><Relationship Type="http://schemas.openxmlformats.org/officeDocument/2006/relationships/hyperlink" Target="https://search.naver.com/search.naver?query=KB%EC%86%90%EB%B3%B4%20%EB%AC%B4%20KB%20The%EC%A2%8B%EC%9D%80%EB%8B%A5%ED%84%B0%ED%94%8C%EB%9F%AC%EC%8A%A4%EA%B1%B4%EA%B0%95%20%EC%B6%A9%EC%88%98%EC%97%BC%28%EB%A7%B9%EC%9E%A5%EC%97%BC%29%EC%88%98%EC%88%A0%EB%B9%84%28%20%EC%95%BD%EA%B4%80%20%EB%B3%B4%EC%9E%A5%EB%82%B4%EC%9A%A9" TargetMode="External" Id="rId51"/><Relationship Type="http://schemas.openxmlformats.org/officeDocument/2006/relationships/hyperlink" Target="https://search.naver.com/search.naver?query=KB%EC%86%90%EB%B3%B4%20%EB%AC%B4%20KB%20The%EC%A2%8B%EC%9D%80%EB%8B%A5%ED%84%B0%ED%94%8C%EB%9F%AC%EC%8A%A4%EA%B1%B4%EA%B0%95%20%EB%87%8C%ED%98%88%EA%B4%80%EC%A7%88%ED%99%98%EC%9E%85%EC%9B%90%EC%9D%BC%EB%8B%B9%281%EC%9D%BC%20%EC%95%BD%EA%B4%80%20%EB%B3%B4%EC%9E%A5%EB%82%B4%EC%9A%A9" TargetMode="External" Id="rId52"/><Relationship Type="http://schemas.openxmlformats.org/officeDocument/2006/relationships/hyperlink" Target="https://search.naver.com/search.naver?query=KB%EC%86%90%EB%B3%B4%20%EB%AC%B4%20KB%20The%EC%A2%8B%EC%9D%80%EB%8B%A5%ED%84%B0%ED%94%8C%EB%9F%AC%EC%8A%A4%EA%B1%B4%EA%B0%95%20%ED%97%88%ED%98%88%EC%84%B1%EC%8B%AC%EC%9E%A5%EC%A7%88%ED%99%98%EC%9E%85%EC%9B%90%EC%9D%BC%EB%8B%B9%28%20%EC%95%BD%EA%B4%80%20%EB%B3%B4%EC%9E%A5%EB%82%B4%EC%9A%A9" TargetMode="External" Id="rId53"/><Relationship Type="http://schemas.openxmlformats.org/officeDocument/2006/relationships/hyperlink" Target="https://search.naver.com/search.naver?query=KB%EC%86%90%EB%B3%B4%20%EB%AC%B4%20KB%20The%EC%A2%8B%EC%9D%80%EB%8B%A5%ED%84%B0%ED%94%8C%EB%9F%AC%EC%8A%A4%EA%B1%B4%EA%B0%95%20%EC%95%94%EC%A7%81%EC%A0%91%EC%B9%98%EB%A3%8C%ED%86%B5%EC%9B%90%EC%9D%BC%EB%8B%B9%2810%20%EC%95%BD%EA%B4%80%20%EB%B3%B4%EC%9E%A5%EB%82%B4%EC%9A%A9" TargetMode="External" Id="rId54"/><Relationship Type="http://schemas.openxmlformats.org/officeDocument/2006/relationships/hyperlink" Target="https://search.naver.com/search.naver?query=KB%EC%86%90%EB%B3%B4%20%EB%AC%B4%20KB%20The%EC%A2%8B%EC%9D%80%EB%8B%A5%ED%84%B0%ED%94%8C%EB%9F%AC%EC%8A%A4%EA%B1%B4%EA%B0%95%20%EC%95%94%EC%A7%81%EC%A0%91%EC%B9%98%EB%A3%8C%ED%86%B5%EC%9B%90%EC%9D%BC%EB%8B%B9%28%EC%83%81%EA%B8%89%20%EC%95%BD%EA%B4%80%20%EB%B3%B4%EC%9E%A5%EB%82%B4%EC%9A%A9" TargetMode="External" Id="rId55"/><Relationship Type="http://schemas.openxmlformats.org/officeDocument/2006/relationships/hyperlink" Target="https://search.naver.com/search.naver?query=DB%EC%86%90%EB%B3%B4%20%EC%B0%B8%EC%A2%8B%EC%9D%80%ED%9B%BC%EB%B0%80%EB%A6%AC%EB%8D%94%EB%B8%94%ED%94%8C%EB%9F%AC%EC%8A%A4%EC%A2%85%ED%95%A9%EB%B3%B4%ED%97%98230%20%EC%8B%AC%EC%9E%A5%EC%A7%88%ED%99%98%28%ED%8A%B9%EC%A0%95%E2%85%A2%29%EC%A7%84%EB%8B%A8%EB%B9%84%20%EC%95%BD%EA%B4%80%20%EB%B3%B4%EC%9E%A5%EB%82%B4%EC%9A%A9" TargetMode="External" Id="rId56"/><Relationship Type="http://schemas.openxmlformats.org/officeDocument/2006/relationships/hyperlink" Target="https://search.naver.com/search.naver?query=DB%EC%86%90%EB%B3%B4%20%EC%B0%B8%EC%A2%8B%EC%9D%80%ED%9B%BC%EB%B0%80%EB%A6%AC%EB%8D%94%EB%B8%94%ED%94%8C%EB%9F%AC%EC%8A%A4%EC%A2%85%ED%95%A9%EB%B3%B4%ED%97%98230%204%EB%8C%80%EC%95%88%EA%B3%BC%EC%A7%84%EB%8B%A8%EB%B9%84%28%EC%95%88%EA%B5%AC%ED%8A%B9%EC%A0%95%20%EC%95%BD%EA%B4%80%20%EB%B3%B4%EC%9E%A5%EB%82%B4%EC%9A%A9" TargetMode="External" Id="rId57"/><Relationship Type="http://schemas.openxmlformats.org/officeDocument/2006/relationships/hyperlink" Target="https://search.naver.com/search.naver?query=DB%EC%86%90%EB%B3%B4%20%EC%B0%B8%EC%A2%8B%EC%9D%80%ED%9B%BC%EB%B0%80%EB%A6%AC%EB%8D%94%EB%B8%94%ED%94%8C%EB%9F%AC%EC%8A%A4%EC%A2%85%ED%95%A9%EB%B3%B4%ED%97%98230%204%EB%8C%80%EC%95%88%EA%B3%BC%EC%A7%84%EB%8B%A8%EB%B9%84%28%EC%A7%88%EB%B3%91%EC%8B%9C%EB%A0%A5%20%EC%95%BD%EA%B4%80%20%EB%B3%B4%EC%9E%A5%EB%82%B4%EC%9A%A9" TargetMode="External" Id="rId58"/><Relationship Type="http://schemas.openxmlformats.org/officeDocument/2006/relationships/hyperlink" Target="https://search.naver.com/search.naver?query=DB%EC%86%90%EB%B3%B4%20%EC%B0%B8%EC%A2%8B%EC%9D%80%ED%9B%BC%EB%B0%80%EB%A6%AC%EB%8D%94%EB%B8%94%ED%94%8C%EB%9F%AC%EC%8A%A4%EC%A2%85%ED%95%A9%EB%B3%B4%ED%97%98230%204%EB%8C%80%EC%95%88%EA%B3%BC%EC%A7%84%EB%8B%A8%EB%B9%84%28%ED%8A%B9%EC%A0%95%EB%88%88%EC%97%BC%20%EC%95%BD%EA%B4%80%20%EB%B3%B4%EC%9E%A5%EB%82%B4%EC%9A%A9" TargetMode="External" Id="rId59"/><Relationship Type="http://schemas.openxmlformats.org/officeDocument/2006/relationships/hyperlink" Target="https://search.naver.com/search.naver?query=DB%EC%86%90%EB%B3%B4%20%EC%B0%B8%EC%A2%8B%EC%9D%80%ED%9B%BC%EB%B0%80%EB%A6%AC%EB%8D%94%EB%B8%94%ED%94%8C%EB%9F%AC%EC%8A%A4%EC%A2%85%ED%95%A9%EB%B3%B4%ED%97%98230%204%EB%8C%80%EC%95%88%EA%B3%BC%EC%A7%84%EB%8B%A8%EB%B9%84%28%ED%8A%B9%EC%A0%95%EB%B0%B1%EB%82%B4%20%EC%95%BD%EA%B4%80%20%EB%B3%B4%EC%9E%A5%EB%82%B4%EC%9A%A9" TargetMode="External" Id="rId60"/><Relationship Type="http://schemas.openxmlformats.org/officeDocument/2006/relationships/hyperlink" Target="https://search.naver.com/search.naver?query=DB%EC%86%90%EB%B3%B4%20%EC%B0%B8%EC%A2%8B%EC%9D%80%ED%9B%BC%EB%B0%80%EB%A6%AC%EB%8D%94%EB%B8%94%ED%94%8C%EB%9F%AC%EC%8A%A4%EC%A2%85%ED%95%A9%EB%B3%B4%ED%97%98230%20%EB%94%94%EC%8A%A4%ED%81%AC%EC%A7%88%ED%99%98%28%EC%B6%94%EA%B0%84%ED%8C%90%ED%83%88%EC%B6%9C%EC%A6%9D%20%EC%95%BD%EA%B4%80%20%EB%B3%B4%EC%9E%A5%EB%82%B4%EC%9A%A9" TargetMode="External" Id="rId61"/><Relationship Type="http://schemas.openxmlformats.org/officeDocument/2006/relationships/hyperlink" Target="https://search.naver.com/search.naver?query=DB%EC%86%90%EB%B3%B4%20%EC%B0%B8%EC%A2%8B%EC%9D%80%ED%9B%BC%EB%B0%80%EB%A6%AC%EB%8D%94%EB%B8%94%ED%94%8C%EB%9F%AC%EC%8A%A4%EC%A2%85%ED%95%A9%EB%B3%B4%ED%97%98230%20%EA%B0%81%EB%A7%89%EC%9D%B4%EC%8B%9D%EC%88%98%EC%88%A0%EB%B9%84%20%EC%95%BD%EA%B4%80%20%EB%B3%B4%EC%9E%A5%EB%82%B4%EC%9A%A9" TargetMode="External" Id="rId62"/><Relationship Type="http://schemas.openxmlformats.org/officeDocument/2006/relationships/hyperlink" Target="https://search.naver.com/search.naver?query=DB%EC%86%90%EB%B3%B4%20%EC%B0%B8%EC%A2%8B%EC%9D%80%ED%9B%BC%EB%B0%80%EB%A6%AC%EB%8D%94%EB%B8%94%ED%94%8C%EB%9F%AC%EC%8A%A4%EC%A2%85%ED%95%A9%EB%B3%B4%ED%97%98230%20%EC%A7%88%EB%B3%91%EC%9C%BC%EB%A1%9C%EC%9D%B8%ED%95%9C3%EB%8C%80%EC%8B%9C%EA%B0%81%EC%A7%88%ED%99%98%20%EC%95%BD%EA%B4%80%20%EB%B3%B4%EC%9E%A5%EB%82%B4%EC%9A%A9" TargetMode="External" Id="rId63"/><Relationship Type="http://schemas.openxmlformats.org/officeDocument/2006/relationships/hyperlink" Target="https://search.naver.com/search.naver?query=DB%EC%86%90%EB%B3%B4%20%EC%B0%B8%EC%A2%8B%EC%9D%80%ED%9B%BC%EB%B0%80%EB%A6%AC%EB%8D%94%EB%B8%94%ED%94%8C%EB%9F%AC%EC%8A%A4%EC%A2%85%ED%95%A9%EB%B3%B4%ED%97%98230%20%EB%B3%B4%ED%97%98%EB%A3%8C%EB%82%A9%EC%9E%85%EB%A9%B4%EC%A0%9C%EB%8C%80%EC%83%81%EB%B3%B4%EC%9E%A5%28%20%EC%95%BD%EA%B4%80%20%EB%B3%B4%EC%9E%A5%EB%82%B4%EC%9A%A9" TargetMode="External" Id="rId64"/><Relationship Type="http://schemas.openxmlformats.org/officeDocument/2006/relationships/hyperlink" Target="https://search.naver.com/search.naver?query=DB%EC%86%90%EB%B3%B4%20%EC%B0%B8%EC%A2%8B%EC%9D%80%ED%9B%BC%EB%B0%80%EB%A6%AC%EB%8D%94%EB%B8%94%ED%94%8C%EB%9F%AC%EC%8A%A4%EC%A2%85%ED%95%A9%EB%B3%B4%ED%97%98230%20%EB%B3%B4%ED%97%98%EB%A3%8C%EB%82%A9%EC%9E%85%EB%A9%B4%EC%A0%9C%EB%8C%80%EC%83%81%EB%B3%B4%EC%9E%A5%28%20%EC%95%BD%EA%B4%80%20%EB%B3%B4%EC%9E%A5%EB%82%B4%EC%9A%A9" TargetMode="External" Id="rId65"/><Relationship Type="http://schemas.openxmlformats.org/officeDocument/2006/relationships/hyperlink" Target="https://search.naver.com/search.naver?query=DB%EC%86%90%EB%B3%B4%20%EC%B0%B8%EC%A2%8B%EC%9D%80%EC%9A%B4%EC%A0%84%EC%9E%90%EC%83%81%ED%95%B4%EB%B3%B4%ED%97%982311%20%EC%9E%90%EB%8F%99%EC%B0%A8%EB%B6%80%EC%83%81%EC%B9%98%EB%A3%8C%EB%B9%84%E2%85%A1%281~%20%EC%95%BD%EA%B4%80%20%EB%B3%B4%EC%9E%A5%EB%82%B4%EC%9A%A9" TargetMode="External" Id="rId66"/><Relationship Type="http://schemas.openxmlformats.org/officeDocument/2006/relationships/hyperlink" Target="https://search.naver.com/search.naver?query=DB%EC%86%90%EB%B3%B4%20%EC%B0%B8%EC%A2%8B%EC%9D%80%EC%9A%B4%EC%A0%84%EC%9E%90%EC%83%81%ED%95%B4%EB%B3%B4%ED%97%982404%20%EC%83%81%ED%95%B4%ED%9D%89%ED%84%B0%EB%B3%B5%EC%9B%90%EC%88%98%EC%88%A0%EB%B9%84%E2%85%A1%20%EC%95%BD%EA%B4%80%20%EB%B3%B4%EC%9E%A5%EB%82%B4%EC%9A%A9" TargetMode="External" Id="rId67"/><Relationship Type="http://schemas.openxmlformats.org/officeDocument/2006/relationships/hyperlink" Target="https://search.naver.com/search.naver?query=DB%EC%86%90%EB%B3%B4%20%EC%B0%B8%EC%A2%8B%EC%9D%80%EC%9A%B4%EC%A0%84%EC%9E%90%EC%83%81%ED%95%B4%EB%B3%B4%ED%97%982404%20%EC%9E%90%EB%8F%99%EC%B0%A8%EC%82%AC%EA%B3%A0%EC%84%B1%ED%98%95%EC%88%98%EC%88%A0%EB%B9%84%20%EC%95%BD%EA%B4%80%20%EB%B3%B4%EC%9E%A5%EB%82%B4%EC%9A%A9" TargetMode="External" Id="rId68"/><Relationship Type="http://schemas.openxmlformats.org/officeDocument/2006/relationships/hyperlink" Target="https://search.naver.com/search.naver?query=DB%EC%86%90%EB%B3%B4%20%EC%B0%B8%EC%A2%8B%EC%9D%80%EC%9A%B4%EC%A0%84%EC%9E%90%EC%83%81%ED%95%B4%EB%B3%B4%ED%97%982404%20%EC%9E%90%EB%8F%99%EC%B0%A8%EC%82%AC%EA%B3%A0%EC%9E%85%EC%9B%90%EC%9D%BC%EB%8B%B9%281-%20%EC%95%BD%EA%B4%80%20%EB%B3%B4%EC%9E%A5%EB%82%B4%EC%9A%A9" TargetMode="External" Id="rId69"/><Relationship Type="http://schemas.openxmlformats.org/officeDocument/2006/relationships/hyperlink" Target="https://search.naver.com/search.naver?query=DB%EC%86%90%EB%B3%B4%20%EC%B0%B8%EC%A2%8B%EC%9D%80%EC%9A%B4%EC%A0%84%EC%9E%90%EC%83%81%ED%95%B4%EB%B3%B4%ED%97%982404%20%EB%B3%B4%EB%B3%B5%EC%9A%B4%EC%A0%84%ED%94%BC%ED%95%B4%28%EC%9D%B8%EC%A0%81%EB%AC%BC%EC%A0%81%29%20%EC%95%BD%EA%B4%80%20%EB%B3%B4%EC%9E%A5%EB%82%B4%EC%9A%A9" TargetMode="External" Id="rId70"/><Relationship Type="http://schemas.openxmlformats.org/officeDocument/2006/relationships/hyperlink" Target="https://search.naver.com/search.naver?query=DB%EC%86%90%EB%B3%B4%20%EC%B0%B8%EC%A2%8B%EC%9D%80%EC%9A%B4%EC%A0%84%EC%9E%90%EC%83%81%ED%95%B4%EB%B3%B4%ED%97%982404%20%EB%B3%B4%EB%B3%B5%EC%9A%B4%EC%A0%84%ED%94%BC%ED%95%B4%EC%9C%84%EB%A1%9C%EA%B8%88%20%EC%95%BD%EA%B4%80%20%EB%B3%B4%EC%9E%A5%EB%82%B4%EC%9A%A9" TargetMode="External" Id="rId71"/><Relationship Type="http://schemas.openxmlformats.org/officeDocument/2006/relationships/hyperlink" Target="https://search.naver.com/search.naver?query=DB%EC%86%90%EB%B3%B4%20%EC%B0%B8%EC%A2%8B%EC%9D%80%EC%9A%B4%EC%A0%84%EC%9E%90%EC%83%81%ED%95%B4%EB%B3%B4%ED%97%982404%20%EC%9E%90%EB%8F%99%EC%B0%A8%EC%82%AC%EA%B3%A0%EC%B9%98%EC%95%84%EB%B3%B4%EC%B2%A0%EC%A7%80%EC%9B%90%EA%B8%88%20%EC%95%BD%EA%B4%80%20%EB%B3%B4%EC%9E%A5%EB%82%B4%EC%9A%A9" TargetMode="External" Id="rId72"/><Relationship Type="http://schemas.openxmlformats.org/officeDocument/2006/relationships/hyperlink" Target="https://search.naver.com/search.naver?query=DB%EC%86%90%EB%B3%B4%20%EC%B0%B8%EC%A2%8B%EC%9D%80%EC%9A%B4%EC%A0%84%EC%9E%90%EC%83%81%ED%95%B4%EB%B3%B4%ED%97%982404%20%EC%83%81%ED%95%B4CT%EA%B2%80%EC%82%AC%EC%A7%80%EC%9B%90%EB%B9%84%28%EA%B8%89%EC%97%AC%20%EC%95%BD%EA%B4%80%20%EB%B3%B4%EC%9E%A5%EB%82%B4%EC%9A%A9" TargetMode="External" Id="rId73"/><Relationship Type="http://schemas.openxmlformats.org/officeDocument/2006/relationships/hyperlink" Target="https://search.naver.com/search.naver?query=DB%EC%86%90%EB%B3%B4%20%EC%B0%B8%EC%A2%8B%EC%9D%80%EC%9A%B4%EC%A0%84%EC%9E%90%EC%83%81%ED%95%B4%EB%B3%B4%ED%97%982404%20%EC%99%B8%EB%B6%80%EC%B6%A9%EA%B2%A9%EC%9C%BC%EB%A1%9C%EC%9D%B8%ED%95%9C%EB%87%8C%EC%86%90%EC%83%81%EC%A7%84%20%EC%95%BD%EA%B4%80%20%EB%B3%B4%EC%9E%A5%EB%82%B4%EC%9A%A9" TargetMode="External" Id="rId74"/><Relationship Type="http://schemas.openxmlformats.org/officeDocument/2006/relationships/hyperlink" Target="https://search.naver.com/search.naver?query=DB%EC%86%90%EB%B3%B4%20%EC%B0%B8%EC%A2%8B%EC%9D%80%EC%9A%B4%EC%A0%84%EC%9E%90%EC%83%81%ED%95%B4%EB%B3%B4%ED%97%982404%20%EC%9E%90%EB%8F%99%EC%B0%A8%EB%B6%80%EC%83%81%EC%B9%98%EB%A3%8C%EB%B9%84%E2%85%A1%281~%20%EC%95%BD%EA%B4%80%20%EB%B3%B4%EC%9E%A5%EB%82%B4%EC%9A%A9" TargetMode="External" Id="rId75"/><Relationship Type="http://schemas.openxmlformats.org/officeDocument/2006/relationships/hyperlink" Target="https://search.naver.com/search.naver?query=DB%EC%86%90%EB%B3%B4%20%EB%82%98%EC%97%90%EA%B2%8C%EB%A7%9E%EC%B6%98%EA%B0%84%ED%8E%B8%EA%B1%B4%EA%B0%95%EB%B3%B4%ED%97%982404%20%EB%87%8C%EB%8F%99%EB%A7%A5%EB%A5%98%EC%A7%84%EB%8B%A8%EB%B9%84%E2%85%A1%28%EB%B9%84%ED%8C%8C%EC%97%B4%20%EC%95%BD%EA%B4%80%20%EB%B3%B4%EC%9E%A5%EB%82%B4%EC%9A%A9" TargetMode="External" Id="rId76"/><Relationship Type="http://schemas.openxmlformats.org/officeDocument/2006/relationships/hyperlink" Target="https://search.naver.com/search.naver?query=DB%EC%86%90%EB%B3%B4%20%EB%82%98%EC%97%90%EA%B2%8C%EB%A7%9E%EC%B6%98%EA%B0%84%ED%8E%B8%EA%B1%B4%EA%B0%95%EB%B3%B4%ED%97%982404%20%EC%A3%BC%EC%9A%94%EC%8B%AC%E2%88%AC%EB%87%8C%E2%88%AC5%EB%8C%80%ED%98%88%EA%B4%80%EC%88%98%EC%88%A0%20%EC%95%BD%EA%B4%80%20%EB%B3%B4%EC%9E%A5%EB%82%B4%EC%9A%A9" TargetMode="External" Id="rId77"/><Relationship Type="http://schemas.openxmlformats.org/officeDocument/2006/relationships/hyperlink" Target="https://search.naver.com/search.naver?query=DB%EC%86%90%EB%B3%B4%20%EB%82%98%EC%97%90%EA%B2%8C%EB%A7%9E%EC%B6%98%EA%B0%84%ED%8E%B8%EA%B1%B4%EA%B0%95%EB%B3%B4%ED%97%982404%20%EB%B3%B4%ED%97%98%EB%A3%8C%EB%82%A9%EC%9E%85%EB%A9%B4%EC%A0%9C%EB%8C%80%EC%83%81%EB%B3%B4%EC%9E%A5%28%20%EC%95%BD%EA%B4%80%20%EB%B3%B4%EC%9E%A5%EB%82%B4%EC%9A%A9" TargetMode="External" Id="rId78"/><Relationship Type="http://schemas.openxmlformats.org/officeDocument/2006/relationships/hyperlink" Target="https://search.naver.com/search.naver?query=AIG%EC%86%90%EB%B3%B4%20%EB%AC%B4%EB%B0%B0%EB%8B%B9%20AIG%20%EB%A7%88%EC%9D%8C%EB%93%A0%EB%93%A0%20%EC%9E%85%EC%9B%90%EB%B9%84%EB%B3%B4%ED%97%98%20%5B%EA%B0%B1%EC%8B%A0%ED%98%95%5D5%EB%8C%80%EC%A4%91%EC%A6%9D%EC%A7%88%EB%B3%91%EC%9E%85%20%EC%95%BD%EA%B4%80%20%EB%B3%B4%EC%9E%A5%EB%82%B4%EC%9A%A9" TargetMode="External" Id="rId79"/><Relationship Type="http://schemas.openxmlformats.org/officeDocument/2006/relationships/hyperlink" Target="https://search.naver.com/search.naver?query=AIG%EC%86%90%EB%B3%B4%20%EB%AC%B4%EB%B0%B0%EB%8B%B9%20AIG%20%EB%A7%88%EC%9D%8C%EB%93%A0%EB%93%A0%20%EC%9E%85%EC%9B%90%EB%B9%84%EB%B3%B4%ED%97%98%20%5B%EA%B0%B1%EC%8B%A0%ED%98%95%5D5%EB%8C%80%ED%8A%B9%EC%A0%95%20%EC%A7%88%EB%B3%91%20%EC%95%BD%EA%B4%80%20%EB%B3%B4%EC%9E%A5%EB%82%B4%EC%9A%A9" TargetMode="External" Id="rId80"/><Relationship Type="http://schemas.openxmlformats.org/officeDocument/2006/relationships/hyperlink" Target="https://search.naver.com/search.naver?query=AIG%EC%86%90%EB%B3%B4%20%EB%AC%B4%EB%B0%B0%EB%8B%B9%20AIG%20%EB%A7%88%EC%9D%8C%EB%93%A0%EB%93%A0%20%EC%9E%85%EC%9B%90%EB%B9%84%EB%B3%B4%ED%97%98%20%5B%EA%B0%B1%EC%8B%A0%ED%98%95%5D%EC%83%81%EA%B8%89%EC%A2%85%ED%95%A9%EB%B3%91%EC%9B%90%20%20%EC%95%BD%EA%B4%80%20%EB%B3%B4%EC%9E%A5%EB%82%B4%EC%9A%A9" TargetMode="External" Id="rId81"/><Relationship Type="http://schemas.openxmlformats.org/officeDocument/2006/relationships/hyperlink" Target="https://search.naver.com/search.naver?query=AIG%EC%86%90%EB%B3%B4%20%EB%AC%B4%EB%B0%B0%EB%8B%B9%20AIG%20%EB%A7%88%EC%9D%8C%EB%93%A0%EB%93%A0%20%EC%9E%85%EC%9B%90%EB%B9%84%EB%B3%B4%ED%97%98%20%5B%EA%B0%B1%EC%8B%A0%ED%98%95%5D%EC%83%81%EA%B8%89%EC%A2%85%ED%95%A9%EB%B3%91%EC%9B%90%20%20%EC%95%BD%EA%B4%80%20%EB%B3%B4%EC%9E%A5%EB%82%B4%EC%9A%A9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99"/>
  <sheetViews>
    <sheetView tabSelected="1" topLeftCell="A31" zoomScaleNormal="100" workbookViewId="0">
      <selection activeCell="C45" sqref="C45"/>
    </sheetView>
  </sheetViews>
  <sheetFormatPr baseColWidth="8" defaultColWidth="9" defaultRowHeight="17.4"/>
  <cols>
    <col width="6.5" customWidth="1" style="82" min="1" max="1"/>
    <col width="22" customWidth="1" style="82" min="2" max="2"/>
    <col width="12" customWidth="1" style="82" min="3" max="7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8"/>
    <col width="12" customWidth="1" style="82" min="13" max="13"/>
    <col width="12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</cols>
  <sheetData>
    <row r="1" ht="38.25" customHeight="1" s="82">
      <c r="A1" s="152" t="inlineStr">
        <is>
          <t>조성래 보장진단</t>
        </is>
      </c>
      <c r="B1" s="153" t="n"/>
      <c r="C1" s="154" t="inlineStr">
        <is>
          <t>우정사업본부
우체국요양보험(갱신형)
[갱신]</t>
        </is>
      </c>
      <c r="D1" s="154" t="inlineStr">
        <is>
          <t>우정사업본부
우체국안전벨트보험
[갱신]</t>
        </is>
      </c>
      <c r="E1" s="154" t="inlineStr">
        <is>
          <t>메리츠화재
(무) 메리츠 속편한 소화계질환보장보험2210(1종)
[갱신]</t>
        </is>
      </c>
      <c r="F1" s="154" t="inlineStr">
        <is>
          <t>메리츠화재
(무) 메리츠 또 걸려도 또 받는 암보험2210(1종)
[갱신]</t>
        </is>
      </c>
      <c r="G1" s="155" t="inlineStr">
        <is>
          <t>메리츠화재
(무) 메리츠 간편한355건강보험(Ⅱ)2306
[비갱신]</t>
        </is>
      </c>
      <c r="H1" s="154" t="inlineStr">
        <is>
          <t>메리츠화재
(무) 메리츠 통합간편건강보험2507(통합간편심사형)
[갱신]</t>
        </is>
      </c>
      <c r="I1" s="155" t="inlineStr">
        <is>
          <t>메리츠화재
(무) 메리츠 통합간편건강보험(Ⅱ)2509(통합간편심사형)
[비갱신]</t>
        </is>
      </c>
      <c r="J1" s="156" t="inlineStr">
        <is>
          <t>한화손보
한화 굿밸런스종합보험(연만기 갱신형) 무배당2404
[갱신]</t>
        </is>
      </c>
      <c r="K1" s="156" t="inlineStr">
        <is>
          <t>한화손보
한화 3N5 간편건강보험(연만기 갱신형) 무배당
[갱신]</t>
        </is>
      </c>
      <c r="L1" s="157" t="inlineStr">
        <is>
          <t>삼성화재
무배당 삼성화재 간편보험 새로고침100세(2508.5) 1종(납입면제형)
[비갱신]</t>
        </is>
      </c>
      <c r="M1" s="156" t="inlineStr">
        <is>
          <t>KB손보
(무)KB The좋은닥터플러스건강보험Ⅱ(20.10)
[갱신]</t>
        </is>
      </c>
      <c r="N1" s="156" t="inlineStr">
        <is>
          <t>KB손보
(무)KB암보험과건강하게사는이야기(21.04)2종.연만기자동갱신형
[갱신]</t>
        </is>
      </c>
      <c r="O1" s="157" t="inlineStr">
        <is>
          <t>DB손보
실손의료비보험2004
[비갱신]
(3세대 실손)</t>
        </is>
      </c>
      <c r="P1" s="157" t="inlineStr">
        <is>
          <t>DB손보
참좋은훼밀리더블플러스종합보험2304
[비갱신]</t>
        </is>
      </c>
      <c r="Q1" s="157" t="inlineStr">
        <is>
          <t>DB손보
참좋은훼밀리더블플러스종합보험2307
[비갱신]</t>
        </is>
      </c>
      <c r="R1" s="156" t="inlineStr">
        <is>
          <t>DB손보
참좋은운전자상해보험2311
[갱신]</t>
        </is>
      </c>
      <c r="S1" s="156" t="inlineStr">
        <is>
          <t>DB손보
참좋은운전자상해보험2404
[갱신]</t>
        </is>
      </c>
      <c r="T1" s="156" t="inlineStr">
        <is>
          <t>DB손보
나에게맞춘간편건강보험2404
[갱신]</t>
        </is>
      </c>
      <c r="U1" s="156" t="inlineStr">
        <is>
          <t>AIG손보
무배당 AIG 마음든든 입원비보험2004(질병형)
[갱신]</t>
        </is>
      </c>
      <c r="V1" s="158" t="inlineStr">
        <is>
          <t>합계</t>
        </is>
      </c>
    </row>
    <row r="2" ht="16.5" customHeight="1" s="82">
      <c r="A2" s="159" t="inlineStr">
        <is>
          <t>보험료</t>
        </is>
      </c>
      <c r="B2" s="160" t="n"/>
      <c r="C2" s="161" t="n">
        <v>24700</v>
      </c>
      <c r="D2" s="161" t="n">
        <v>8900</v>
      </c>
      <c r="E2" s="161" t="n">
        <v>57530</v>
      </c>
      <c r="F2" s="161" t="n">
        <v>33000</v>
      </c>
      <c r="G2" s="162" t="n">
        <v>35380</v>
      </c>
      <c r="H2" s="161" t="n">
        <v>58160</v>
      </c>
      <c r="I2" s="162" t="n">
        <v>105170</v>
      </c>
      <c r="J2" s="161" t="n">
        <v>69154</v>
      </c>
      <c r="K2" s="163" t="n">
        <v>101679</v>
      </c>
      <c r="L2" s="164" t="n">
        <v>113000</v>
      </c>
      <c r="M2" s="163" t="n">
        <v>63000</v>
      </c>
      <c r="N2" s="163" t="n">
        <v>32362</v>
      </c>
      <c r="O2" s="165" t="n"/>
      <c r="P2" s="164" t="n">
        <v>83000</v>
      </c>
      <c r="Q2" s="164" t="n">
        <v>21318</v>
      </c>
      <c r="R2" s="163" t="n">
        <v>10000</v>
      </c>
      <c r="S2" s="163" t="n">
        <v>26000</v>
      </c>
      <c r="T2" s="163" t="n">
        <v>87200</v>
      </c>
      <c r="U2" s="163" t="n">
        <v>22647</v>
      </c>
      <c r="V2" s="166">
        <f>SUM(C2:U2)</f>
        <v>952200</v>
      </c>
    </row>
    <row r="3" ht="16.5" customHeight="1" s="82">
      <c r="A3" s="167" t="inlineStr">
        <is>
          <t>가입년일</t>
        </is>
      </c>
      <c r="B3" s="160" t="n"/>
      <c r="C3" s="168" t="inlineStr">
        <is>
          <t>2017.07.19</t>
        </is>
      </c>
      <c r="D3" s="168" t="inlineStr">
        <is>
          <t>2017.07.19</t>
        </is>
      </c>
      <c r="E3" s="168" t="inlineStr">
        <is>
          <t>2022.10.27</t>
        </is>
      </c>
      <c r="F3" s="168" t="inlineStr">
        <is>
          <t>2022.12.27</t>
        </is>
      </c>
      <c r="G3" s="169" t="inlineStr">
        <is>
          <t>2023.08.22</t>
        </is>
      </c>
      <c r="H3" s="168" t="inlineStr">
        <is>
          <t>2025.08.29</t>
        </is>
      </c>
      <c r="I3" s="169" t="inlineStr">
        <is>
          <t>2025.09.30</t>
        </is>
      </c>
      <c r="J3" s="168" t="inlineStr">
        <is>
          <t>2024.06.13</t>
        </is>
      </c>
      <c r="K3" s="170" t="inlineStr">
        <is>
          <t>2025.02.21</t>
        </is>
      </c>
      <c r="L3" s="165" t="inlineStr">
        <is>
          <t>2025.09.30</t>
        </is>
      </c>
      <c r="M3" s="170" t="inlineStr">
        <is>
          <t>2020.12.16</t>
        </is>
      </c>
      <c r="N3" s="170" t="inlineStr">
        <is>
          <t>2022.03.10</t>
        </is>
      </c>
      <c r="O3" s="165" t="inlineStr">
        <is>
          <t>2022.09.17</t>
        </is>
      </c>
      <c r="P3" s="165" t="inlineStr">
        <is>
          <t>2023.04.26</t>
        </is>
      </c>
      <c r="Q3" s="165" t="inlineStr">
        <is>
          <t>2023.08.22</t>
        </is>
      </c>
      <c r="R3" s="170" t="inlineStr">
        <is>
          <t>2023.11.01</t>
        </is>
      </c>
      <c r="S3" s="170" t="inlineStr">
        <is>
          <t>2024.08.16</t>
        </is>
      </c>
      <c r="T3" s="170" t="inlineStr">
        <is>
          <t>2025.02.20</t>
        </is>
      </c>
      <c r="U3" s="170" t="inlineStr">
        <is>
          <t>2020.06.15</t>
        </is>
      </c>
      <c r="V3" s="171" t="n"/>
    </row>
    <row r="4" ht="16.5" customHeight="1" s="82">
      <c r="A4" s="167" t="inlineStr">
        <is>
          <t>만기일자</t>
        </is>
      </c>
      <c r="B4" s="160" t="n"/>
      <c r="C4" s="168" t="inlineStr">
        <is>
          <t>2027.07.19</t>
        </is>
      </c>
      <c r="D4" s="168" t="inlineStr">
        <is>
          <t>2037.07.19</t>
        </is>
      </c>
      <c r="E4" s="168" t="inlineStr">
        <is>
          <t>2063.10.27</t>
        </is>
      </c>
      <c r="F4" s="168" t="inlineStr">
        <is>
          <t>2063.12.27</t>
        </is>
      </c>
      <c r="G4" s="169" t="inlineStr">
        <is>
          <t>2053.08.22</t>
        </is>
      </c>
      <c r="H4" s="168" t="inlineStr">
        <is>
          <t>2063.08.29</t>
        </is>
      </c>
      <c r="I4" s="169" t="inlineStr">
        <is>
          <t>2063.09.30</t>
        </is>
      </c>
      <c r="J4" s="168" t="inlineStr">
        <is>
          <t>2054.06.13</t>
        </is>
      </c>
      <c r="K4" s="170" t="inlineStr">
        <is>
          <t>2045.02.21</t>
        </is>
      </c>
      <c r="L4" s="165" t="inlineStr">
        <is>
          <t>2053.09.30</t>
        </is>
      </c>
      <c r="M4" s="170" t="inlineStr">
        <is>
          <t>2073.12.16</t>
        </is>
      </c>
      <c r="N4" s="170" t="inlineStr">
        <is>
          <t>2064.03.10</t>
        </is>
      </c>
      <c r="O4" s="165" t="inlineStr">
        <is>
          <t>2022.09.18</t>
        </is>
      </c>
      <c r="P4" s="165" t="inlineStr">
        <is>
          <t>2044.04.26</t>
        </is>
      </c>
      <c r="Q4" s="165" t="inlineStr">
        <is>
          <t>2053.08.22</t>
        </is>
      </c>
      <c r="R4" s="170" t="inlineStr">
        <is>
          <t>2043.11.01</t>
        </is>
      </c>
      <c r="S4" s="170" t="inlineStr">
        <is>
          <t>2044.08.16</t>
        </is>
      </c>
      <c r="T4" s="170" t="inlineStr">
        <is>
          <t>2045.02.20</t>
        </is>
      </c>
      <c r="U4" s="170" t="inlineStr">
        <is>
          <t>2030.06.15</t>
        </is>
      </c>
      <c r="V4" s="171" t="n"/>
    </row>
    <row r="5" ht="17.25" customHeight="1" s="82">
      <c r="A5" s="167" t="inlineStr">
        <is>
          <t>총납입기간</t>
        </is>
      </c>
      <c r="B5" s="160" t="n"/>
      <c r="C5" s="168" t="inlineStr">
        <is>
          <t>5년납 (60/60)</t>
        </is>
      </c>
      <c r="D5" s="168" t="inlineStr">
        <is>
          <t>20년납 (107/240)</t>
        </is>
      </c>
      <c r="E5" s="168" t="inlineStr">
        <is>
          <t>20년납 (44/240)</t>
        </is>
      </c>
      <c r="F5" s="168" t="inlineStr">
        <is>
          <t>20년납 (42/240)</t>
        </is>
      </c>
      <c r="G5" s="169" t="inlineStr">
        <is>
          <t>20년납 (34/240)</t>
        </is>
      </c>
      <c r="H5" s="168" t="inlineStr">
        <is>
          <t>10년납 (10/120)</t>
        </is>
      </c>
      <c r="I5" s="169" t="inlineStr">
        <is>
          <t>30년납 (9/360)</t>
        </is>
      </c>
      <c r="J5" s="168" t="inlineStr">
        <is>
          <t>30년납 (25/360)</t>
        </is>
      </c>
      <c r="K5" s="170" t="inlineStr">
        <is>
          <t>20년납 (16/240)</t>
        </is>
      </c>
      <c r="L5" s="165" t="inlineStr">
        <is>
          <t>28년납 (9/336)</t>
        </is>
      </c>
      <c r="M5" s="170" t="inlineStr">
        <is>
          <t>10년납 (67/120)</t>
        </is>
      </c>
      <c r="N5" s="170" t="inlineStr">
        <is>
          <t>20년납 (52/240)</t>
        </is>
      </c>
      <c r="O5" s="165" t="inlineStr">
        <is>
          <t>25년납 ()</t>
        </is>
      </c>
      <c r="P5" s="165" t="inlineStr">
        <is>
          <t>20년납 (38/240)</t>
        </is>
      </c>
      <c r="Q5" s="165" t="inlineStr">
        <is>
          <t>20년납 (34/240)</t>
        </is>
      </c>
      <c r="R5" s="170" t="inlineStr">
        <is>
          <t>20년납 (32/240)</t>
        </is>
      </c>
      <c r="S5" s="170" t="inlineStr">
        <is>
          <t>20년납 (23/240)</t>
        </is>
      </c>
      <c r="T5" s="170" t="inlineStr">
        <is>
          <t>20년납 (16/240)</t>
        </is>
      </c>
      <c r="U5" s="170" t="inlineStr">
        <is>
          <t>10년납 (73/120)</t>
        </is>
      </c>
      <c r="V5" s="171" t="n"/>
    </row>
    <row r="6" ht="16.5" customHeight="1" s="82">
      <c r="A6" s="172" t="inlineStr">
        <is>
          <t>사망</t>
        </is>
      </c>
      <c r="B6" s="173" t="inlineStr">
        <is>
          <t>일반사망</t>
        </is>
      </c>
      <c r="C6" s="174" t="n"/>
      <c r="D6" s="174" t="n"/>
      <c r="E6" s="174" t="n"/>
      <c r="F6" s="174" t="n"/>
      <c r="G6" s="174" t="n"/>
      <c r="H6" s="174" t="n"/>
      <c r="I6" s="174" t="n"/>
      <c r="J6" s="174" t="n"/>
      <c r="K6" s="175" t="n"/>
      <c r="L6" s="175" t="n"/>
      <c r="M6" s="175" t="n"/>
      <c r="N6" s="175" t="n"/>
      <c r="O6" s="175" t="n"/>
      <c r="P6" s="175" t="n"/>
      <c r="Q6" s="175" t="n"/>
      <c r="R6" s="175" t="n"/>
      <c r="S6" s="175" t="n"/>
      <c r="T6" s="175" t="n"/>
      <c r="U6" s="175" t="n"/>
      <c r="V6" s="176">
        <f>SUM(C6:U6)</f>
        <v>0</v>
      </c>
    </row>
    <row r="7" ht="17.25" customHeight="1" s="82">
      <c r="A7" s="177" t="n"/>
      <c r="B7" s="178" t="inlineStr">
        <is>
          <t>중대한CI적용</t>
        </is>
      </c>
      <c r="C7" s="179" t="n"/>
      <c r="D7" s="179" t="n"/>
      <c r="E7" s="179" t="n"/>
      <c r="F7" s="179" t="n"/>
      <c r="G7" s="179" t="n"/>
      <c r="H7" s="179" t="n"/>
      <c r="I7" s="179" t="n"/>
      <c r="J7" s="179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1">
        <f>SUM(C7:U7)</f>
        <v>0</v>
      </c>
    </row>
    <row r="8" ht="17.25" customHeight="1" s="82">
      <c r="A8" s="177" t="n"/>
      <c r="B8" s="182" t="inlineStr">
        <is>
          <t>질병사망(80세)</t>
        </is>
      </c>
      <c r="C8" s="179" t="n"/>
      <c r="D8" s="179" t="n"/>
      <c r="E8" s="179" t="n"/>
      <c r="F8" s="179" t="n"/>
      <c r="G8" s="179" t="n"/>
      <c r="H8" s="183" t="n">
        <v>3000</v>
      </c>
      <c r="I8" s="179" t="n"/>
      <c r="J8" s="179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1">
        <f>SUM(C8:U8)</f>
        <v>3000</v>
      </c>
    </row>
    <row r="9" ht="16.5" customHeight="1" s="82">
      <c r="A9" s="177" t="n"/>
      <c r="B9" s="182" t="inlineStr">
        <is>
          <t>교통상해사망</t>
        </is>
      </c>
      <c r="C9" s="179" t="n"/>
      <c r="D9" s="183" t="n">
        <v>30000</v>
      </c>
      <c r="E9" s="179" t="n"/>
      <c r="F9" s="179" t="n"/>
      <c r="G9" s="179" t="n"/>
      <c r="H9" s="179" t="n"/>
      <c r="I9" s="179" t="n"/>
      <c r="J9" s="179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1">
        <f>SUM(C9:U9)</f>
        <v>30000</v>
      </c>
    </row>
    <row r="10" ht="17.25" customHeight="1" s="82">
      <c r="A10" s="184" t="n"/>
      <c r="B10" s="185" t="inlineStr">
        <is>
          <t>상해사망</t>
        </is>
      </c>
      <c r="C10" s="186" t="n"/>
      <c r="D10" s="186" t="n"/>
      <c r="E10" s="186" t="n"/>
      <c r="F10" s="186" t="n"/>
      <c r="G10" s="162" t="n">
        <v>100</v>
      </c>
      <c r="H10" s="161" t="n">
        <v>5000</v>
      </c>
      <c r="I10" s="162" t="n">
        <v>100</v>
      </c>
      <c r="J10" s="161" t="n">
        <v>5000</v>
      </c>
      <c r="K10" s="160" t="n"/>
      <c r="L10" s="164" t="n">
        <v>1000</v>
      </c>
      <c r="M10" s="163" t="n">
        <v>10000</v>
      </c>
      <c r="N10" s="160" t="n"/>
      <c r="O10" s="160" t="n"/>
      <c r="P10" s="164" t="n">
        <v>10000</v>
      </c>
      <c r="Q10" s="164" t="n">
        <v>200</v>
      </c>
      <c r="R10" s="160" t="n"/>
      <c r="S10" s="163" t="n">
        <v>5000</v>
      </c>
      <c r="T10" s="163" t="n">
        <v>1000</v>
      </c>
      <c r="U10" s="160" t="n"/>
      <c r="V10" s="166">
        <f>SUM(C10:U10)</f>
        <v>37400</v>
      </c>
    </row>
    <row r="11" ht="16.5" customHeight="1" s="82">
      <c r="A11" s="187" t="inlineStr">
        <is>
          <t>후유장애</t>
        </is>
      </c>
      <c r="B11" s="182" t="inlineStr">
        <is>
          <t>상해후유3%</t>
        </is>
      </c>
      <c r="C11" s="179" t="n"/>
      <c r="D11" s="179" t="n"/>
      <c r="E11" s="179" t="n"/>
      <c r="F11" s="179" t="n"/>
      <c r="G11" s="179" t="n"/>
      <c r="H11" s="179" t="n"/>
      <c r="I11" s="179" t="n"/>
      <c r="J11" s="179" t="n"/>
      <c r="K11" s="180" t="n"/>
      <c r="L11" s="180" t="n"/>
      <c r="M11" s="188" t="n">
        <v>10000</v>
      </c>
      <c r="N11" s="180" t="n"/>
      <c r="O11" s="180" t="n"/>
      <c r="P11" s="180" t="n"/>
      <c r="Q11" s="180" t="n"/>
      <c r="R11" s="188" t="n">
        <v>100</v>
      </c>
      <c r="S11" s="188" t="n">
        <v>2100</v>
      </c>
      <c r="T11" s="180" t="n"/>
      <c r="U11" s="180" t="n"/>
      <c r="V11" s="181">
        <f>SUM(C11:U11)</f>
        <v>12200</v>
      </c>
    </row>
    <row r="12" ht="16.5" customHeight="1" s="82">
      <c r="A12" s="177" t="n"/>
      <c r="B12" s="182" t="inlineStr">
        <is>
          <t>상해후유80%</t>
        </is>
      </c>
      <c r="C12" s="179" t="n"/>
      <c r="D12" s="179" t="n"/>
      <c r="E12" s="179" t="n"/>
      <c r="F12" s="179" t="n"/>
      <c r="G12" s="189" t="n">
        <v>100</v>
      </c>
      <c r="H12" s="183" t="n">
        <v>100</v>
      </c>
      <c r="I12" s="189" t="n">
        <v>100</v>
      </c>
      <c r="J12" s="179" t="n"/>
      <c r="K12" s="188" t="n">
        <v>100</v>
      </c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1">
        <f>SUM(C12:U12)</f>
        <v>400</v>
      </c>
    </row>
    <row r="13" ht="16.5" customHeight="1" s="82">
      <c r="A13" s="177" t="n"/>
      <c r="B13" s="182" t="inlineStr">
        <is>
          <t>질병후유3%</t>
        </is>
      </c>
      <c r="C13" s="179" t="n"/>
      <c r="D13" s="179" t="n"/>
      <c r="E13" s="179" t="n"/>
      <c r="F13" s="179" t="n"/>
      <c r="G13" s="179" t="n"/>
      <c r="H13" s="179" t="n"/>
      <c r="I13" s="179" t="n"/>
      <c r="J13" s="179" t="n"/>
      <c r="K13" s="180" t="n"/>
      <c r="L13" s="180" t="n"/>
      <c r="M13" s="180" t="n"/>
      <c r="N13" s="180" t="n"/>
      <c r="O13" s="180" t="n"/>
      <c r="P13" s="190" t="n">
        <v>2000</v>
      </c>
      <c r="Q13" s="180" t="n"/>
      <c r="R13" s="180" t="n"/>
      <c r="S13" s="180" t="n"/>
      <c r="T13" s="180" t="n"/>
      <c r="U13" s="188" t="n">
        <v>500</v>
      </c>
      <c r="V13" s="181">
        <f>SUM(C13:U13)</f>
        <v>2500</v>
      </c>
    </row>
    <row r="14" ht="17.25" customHeight="1" s="82">
      <c r="A14" s="184" t="n"/>
      <c r="B14" s="185" t="inlineStr">
        <is>
          <t>질병후유80%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60" t="n"/>
      <c r="L14" s="160" t="n"/>
      <c r="M14" s="160" t="n"/>
      <c r="N14" s="160" t="n"/>
      <c r="O14" s="160" t="n"/>
      <c r="P14" s="160" t="n"/>
      <c r="Q14" s="160" t="n"/>
      <c r="R14" s="160" t="n"/>
      <c r="S14" s="160" t="n"/>
      <c r="T14" s="160" t="n"/>
      <c r="U14" s="160" t="n"/>
      <c r="V14" s="166">
        <f>SUM(C14:U14)</f>
        <v>0</v>
      </c>
    </row>
    <row r="15" ht="17.25" customHeight="1" s="82">
      <c r="A15" s="187" t="inlineStr">
        <is>
          <t>암</t>
        </is>
      </c>
      <c r="B15" s="182" t="inlineStr">
        <is>
          <t>고액암</t>
        </is>
      </c>
      <c r="C15" s="179" t="n"/>
      <c r="D15" s="179" t="n"/>
      <c r="E15" s="179" t="n"/>
      <c r="F15" s="183" t="n">
        <v>1000</v>
      </c>
      <c r="G15" s="179" t="n"/>
      <c r="H15" s="179" t="n"/>
      <c r="I15" s="179" t="n"/>
      <c r="J15" s="179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1">
        <f>SUM(C15:U15)</f>
        <v>1000</v>
      </c>
    </row>
    <row r="16" ht="16.5" customHeight="1" s="82">
      <c r="A16" s="177" t="n"/>
      <c r="B16" s="178" t="inlineStr">
        <is>
          <t>일반암</t>
        </is>
      </c>
      <c r="C16" s="179" t="n"/>
      <c r="D16" s="179" t="n"/>
      <c r="E16" s="183" t="n">
        <v>6000</v>
      </c>
      <c r="F16" s="183" t="n">
        <v>1000</v>
      </c>
      <c r="G16" s="179" t="n"/>
      <c r="H16" s="179" t="n"/>
      <c r="I16" s="189" t="n">
        <v>500</v>
      </c>
      <c r="J16" s="179" t="n"/>
      <c r="K16" s="180" t="n"/>
      <c r="L16" s="180" t="n"/>
      <c r="M16" s="180" t="n"/>
      <c r="N16" s="188" t="n">
        <v>100</v>
      </c>
      <c r="O16" s="180" t="n"/>
      <c r="P16" s="180" t="n"/>
      <c r="Q16" s="180" t="n"/>
      <c r="R16" s="180" t="n"/>
      <c r="S16" s="180" t="n"/>
      <c r="T16" s="180" t="n"/>
      <c r="U16" s="180" t="n"/>
      <c r="V16" s="181">
        <f>SUM(C16:U16)</f>
        <v>7600</v>
      </c>
    </row>
    <row r="17" ht="17.25" customHeight="1" s="82">
      <c r="A17" s="177" t="n"/>
      <c r="B17" s="178" t="inlineStr">
        <is>
          <t>중대한 암</t>
        </is>
      </c>
      <c r="C17" s="179" t="n"/>
      <c r="D17" s="179" t="n"/>
      <c r="E17" s="179" t="n"/>
      <c r="F17" s="179" t="n"/>
      <c r="G17" s="179" t="n"/>
      <c r="H17" s="179" t="n"/>
      <c r="I17" s="179" t="n"/>
      <c r="J17" s="179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1">
        <f>SUM(C17:U17)</f>
        <v>0</v>
      </c>
    </row>
    <row r="18" ht="16.5" customHeight="1" s="82">
      <c r="A18" s="177" t="n"/>
      <c r="B18" s="182" t="inlineStr">
        <is>
          <t>유사암(갑.기.경.제)</t>
        </is>
      </c>
      <c r="C18" s="179" t="n"/>
      <c r="D18" s="179" t="n"/>
      <c r="E18" s="183" t="n">
        <v>100</v>
      </c>
      <c r="F18" s="183" t="n">
        <v>160</v>
      </c>
      <c r="G18" s="179" t="n"/>
      <c r="H18" s="179" t="n"/>
      <c r="I18" s="189" t="n">
        <v>100</v>
      </c>
      <c r="J18" s="179" t="n"/>
      <c r="K18" s="180" t="n"/>
      <c r="L18" s="180" t="n"/>
      <c r="M18" s="180" t="n"/>
      <c r="N18" s="188" t="n">
        <v>60</v>
      </c>
      <c r="O18" s="180" t="n"/>
      <c r="P18" s="180" t="n"/>
      <c r="Q18" s="180" t="n"/>
      <c r="R18" s="180" t="n"/>
      <c r="S18" s="180" t="n"/>
      <c r="T18" s="180" t="n"/>
      <c r="U18" s="180" t="n"/>
      <c r="V18" s="181">
        <f>SUM(C18:U18)</f>
        <v>420</v>
      </c>
    </row>
    <row r="19" ht="16.5" customHeight="1" s="82">
      <c r="A19" s="177" t="n"/>
      <c r="B19" s="182" t="inlineStr">
        <is>
          <t>통합전이암</t>
        </is>
      </c>
      <c r="C19" s="179" t="n"/>
      <c r="D19" s="179" t="n"/>
      <c r="E19" s="179" t="n"/>
      <c r="F19" s="179" t="n"/>
      <c r="G19" s="179" t="n"/>
      <c r="H19" s="179" t="n"/>
      <c r="I19" s="179" t="n"/>
      <c r="J19" s="179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1">
        <f>SUM(C19:U19)</f>
        <v>0</v>
      </c>
    </row>
    <row r="20" ht="16.5" customHeight="1" s="82">
      <c r="A20" s="177" t="n"/>
      <c r="B20" s="182" t="inlineStr">
        <is>
          <t>암주요치료비</t>
        </is>
      </c>
      <c r="C20" s="191" t="n"/>
      <c r="D20" s="191" t="n"/>
      <c r="E20" s="191" t="n"/>
      <c r="F20" s="191" t="n"/>
      <c r="G20" s="191" t="n"/>
      <c r="H20" s="191" t="n"/>
      <c r="I20" s="179" t="n"/>
      <c r="J20" s="179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1">
        <f>SUM(C20:U20)</f>
        <v>0</v>
      </c>
    </row>
    <row r="21" ht="16.5" customHeight="1" s="82">
      <c r="A21" s="177" t="n"/>
      <c r="B21" s="182" t="inlineStr">
        <is>
          <t>하이클래스(암)</t>
        </is>
      </c>
      <c r="C21" s="179" t="n"/>
      <c r="D21" s="179" t="n"/>
      <c r="E21" s="179" t="n"/>
      <c r="F21" s="179" t="n"/>
      <c r="G21" s="179" t="n"/>
      <c r="H21" s="179" t="n"/>
      <c r="I21" s="179" t="n"/>
      <c r="J21" s="179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1">
        <f>SUM(C21:U21)</f>
        <v>0</v>
      </c>
    </row>
    <row r="22" ht="16.5" customHeight="1" s="82">
      <c r="A22" s="177" t="n"/>
      <c r="B22" s="182" t="inlineStr">
        <is>
          <t>중입자치료비</t>
        </is>
      </c>
      <c r="C22" s="191" t="n"/>
      <c r="D22" s="191" t="n"/>
      <c r="E22" s="191" t="n"/>
      <c r="F22" s="191" t="n"/>
      <c r="G22" s="191" t="n"/>
      <c r="H22" s="191" t="n"/>
      <c r="I22" s="179" t="n"/>
      <c r="J22" s="179" t="n"/>
      <c r="K22" s="180" t="n"/>
      <c r="L22" s="190" t="n">
        <v>5000</v>
      </c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1">
        <f>IF(COUNT(C22:U22)=0,0,MAX(C22:U22))</f>
        <v>5000</v>
      </c>
    </row>
    <row r="23" ht="16.5" customHeight="1" s="82">
      <c r="A23" s="177" t="n"/>
      <c r="B23" s="182" t="inlineStr">
        <is>
          <t>표적항암치료비</t>
        </is>
      </c>
      <c r="C23" s="191" t="n"/>
      <c r="D23" s="191" t="n"/>
      <c r="E23" s="191" t="n"/>
      <c r="F23" s="191" t="n"/>
      <c r="G23" s="191" t="n"/>
      <c r="H23" s="191" t="n"/>
      <c r="I23" s="183" t="n">
        <v>2000</v>
      </c>
      <c r="J23" s="179" t="n"/>
      <c r="K23" s="180" t="n"/>
      <c r="L23" s="188" t="n">
        <v>1000</v>
      </c>
      <c r="M23" s="180" t="n"/>
      <c r="N23" s="188" t="n">
        <v>7000</v>
      </c>
      <c r="O23" s="180" t="n"/>
      <c r="P23" s="180" t="n"/>
      <c r="Q23" s="180" t="n"/>
      <c r="R23" s="180" t="n"/>
      <c r="S23" s="180" t="n"/>
      <c r="T23" s="180" t="n"/>
      <c r="U23" s="180" t="n"/>
      <c r="V23" s="181">
        <f>SUM(C23:U23)</f>
        <v>10000</v>
      </c>
    </row>
    <row r="24" ht="16.5" customHeight="1" s="82">
      <c r="A24" s="177" t="n"/>
      <c r="B24" s="182" t="inlineStr">
        <is>
          <t>양성자치료</t>
        </is>
      </c>
      <c r="C24" s="191" t="n"/>
      <c r="D24" s="191" t="n"/>
      <c r="E24" s="191" t="n"/>
      <c r="F24" s="191" t="n"/>
      <c r="G24" s="191" t="n"/>
      <c r="H24" s="191" t="n"/>
      <c r="I24" s="183" t="n">
        <v>1000</v>
      </c>
      <c r="J24" s="179" t="n"/>
      <c r="K24" s="180" t="n"/>
      <c r="L24" s="188" t="n">
        <v>1000</v>
      </c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1">
        <f>SUM(C24:U24)</f>
        <v>2000</v>
      </c>
    </row>
    <row r="25" ht="16.5" customHeight="1" s="82">
      <c r="A25" s="177" t="n"/>
      <c r="B25" s="182" t="inlineStr">
        <is>
          <t>세기조절치료</t>
        </is>
      </c>
      <c r="C25" s="191" t="n"/>
      <c r="D25" s="191" t="n"/>
      <c r="E25" s="191" t="n"/>
      <c r="F25" s="191" t="n"/>
      <c r="G25" s="191" t="n"/>
      <c r="H25" s="191" t="n"/>
      <c r="I25" s="183" t="n">
        <v>1000</v>
      </c>
      <c r="J25" s="179" t="n"/>
      <c r="K25" s="180" t="n"/>
      <c r="L25" s="188" t="n">
        <v>1000</v>
      </c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1">
        <f>SUM(C25:U25)</f>
        <v>2000</v>
      </c>
    </row>
    <row r="26" ht="16.5" customHeight="1" s="82">
      <c r="A26" s="177" t="n"/>
      <c r="B26" s="182" t="inlineStr">
        <is>
          <t>다빈치로봇수술비</t>
        </is>
      </c>
      <c r="C26" s="191" t="n"/>
      <c r="D26" s="191" t="n"/>
      <c r="E26" s="191" t="n"/>
      <c r="F26" s="191" t="n"/>
      <c r="G26" s="191" t="n"/>
      <c r="H26" s="191" t="n"/>
      <c r="I26" s="183" t="n">
        <v>200</v>
      </c>
      <c r="J26" s="179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1">
        <f>SUM(C26:U26)</f>
        <v>200</v>
      </c>
    </row>
    <row r="27" ht="16.5" customHeight="1" s="82">
      <c r="A27" s="177" t="n"/>
      <c r="B27" s="182" t="inlineStr">
        <is>
          <t>암수술</t>
        </is>
      </c>
      <c r="C27" s="179" t="n"/>
      <c r="D27" s="179" t="n"/>
      <c r="E27" s="179" t="n"/>
      <c r="F27" s="183" t="n">
        <v>200</v>
      </c>
      <c r="G27" s="179" t="n"/>
      <c r="H27" s="179" t="n"/>
      <c r="I27" s="179" t="n"/>
      <c r="J27" s="179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1">
        <f>SUM(C27:U27)</f>
        <v>200</v>
      </c>
    </row>
    <row r="28" ht="17.25" customHeight="1" s="82">
      <c r="A28" s="177" t="n"/>
      <c r="B28" s="182" t="inlineStr">
        <is>
          <t>암일당</t>
        </is>
      </c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80" t="n"/>
      <c r="L28" s="180" t="n"/>
      <c r="M28" s="188" t="n">
        <v>0</v>
      </c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1">
        <f>SUM(C28:U28)</f>
        <v>0</v>
      </c>
    </row>
    <row r="29" ht="17.25" customHeight="1" s="82">
      <c r="A29" s="184" t="n"/>
      <c r="B29" s="185" t="inlineStr">
        <is>
          <t>항암방사선약물</t>
        </is>
      </c>
      <c r="C29" s="186" t="n"/>
      <c r="D29" s="186" t="n"/>
      <c r="E29" s="186" t="n"/>
      <c r="F29" s="161" t="n">
        <v>200</v>
      </c>
      <c r="G29" s="186" t="n"/>
      <c r="H29" s="186" t="n"/>
      <c r="I29" s="161" t="n">
        <v>1000</v>
      </c>
      <c r="J29" s="186" t="n"/>
      <c r="K29" s="160" t="n"/>
      <c r="L29" s="164" t="n">
        <v>1000</v>
      </c>
      <c r="M29" s="163" t="n">
        <v>200</v>
      </c>
      <c r="N29" s="163" t="n">
        <v>100</v>
      </c>
      <c r="O29" s="160" t="n"/>
      <c r="P29" s="160" t="n"/>
      <c r="Q29" s="160" t="n"/>
      <c r="R29" s="160" t="n"/>
      <c r="S29" s="160" t="n"/>
      <c r="T29" s="160" t="n"/>
      <c r="U29" s="160" t="n"/>
      <c r="V29" s="166">
        <f>SUM(C29:U29)</f>
        <v>2500</v>
      </c>
    </row>
    <row r="30" ht="16.5" customHeight="1" s="82">
      <c r="A30" s="187" t="inlineStr">
        <is>
          <t>뇌혈관</t>
        </is>
      </c>
      <c r="B30" s="182" t="inlineStr">
        <is>
          <t>뇌혈관진단비</t>
        </is>
      </c>
      <c r="C30" s="179" t="n"/>
      <c r="D30" s="179" t="n"/>
      <c r="E30" s="179" t="n"/>
      <c r="F30" s="179" t="n"/>
      <c r="G30" s="179" t="n"/>
      <c r="H30" s="179" t="n"/>
      <c r="I30" s="179" t="n"/>
      <c r="J30" s="179" t="n"/>
      <c r="K30" s="188" t="n">
        <v>500</v>
      </c>
      <c r="L30" s="190" t="n">
        <v>500</v>
      </c>
      <c r="M30" s="188" t="n">
        <v>300</v>
      </c>
      <c r="N30" s="180" t="n"/>
      <c r="O30" s="180" t="n"/>
      <c r="P30" s="190" t="n">
        <v>200</v>
      </c>
      <c r="Q30" s="180" t="n"/>
      <c r="R30" s="180" t="n"/>
      <c r="S30" s="180" t="n"/>
      <c r="T30" s="188" t="n">
        <v>800</v>
      </c>
      <c r="U30" s="180" t="n"/>
      <c r="V30" s="181">
        <f>SUM(C30:U30)</f>
        <v>2300</v>
      </c>
    </row>
    <row r="31" ht="17.25" customHeight="1" s="82">
      <c r="A31" s="177" t="n"/>
      <c r="B31" s="178" t="inlineStr">
        <is>
          <t>뇌졸증진단비</t>
        </is>
      </c>
      <c r="C31" s="179" t="n"/>
      <c r="D31" s="179" t="n"/>
      <c r="E31" s="179" t="n"/>
      <c r="F31" s="179" t="n"/>
      <c r="G31" s="179" t="n"/>
      <c r="H31" s="179" t="n"/>
      <c r="I31" s="179" t="n"/>
      <c r="J31" s="179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1">
        <f>SUM(C31:U31)</f>
        <v>0</v>
      </c>
    </row>
    <row r="32" ht="16.5" customHeight="1" s="82">
      <c r="A32" s="177" t="n"/>
      <c r="B32" s="178" t="inlineStr">
        <is>
          <t>중대한 뇌졸증</t>
        </is>
      </c>
      <c r="C32" s="179" t="n"/>
      <c r="D32" s="179" t="n"/>
      <c r="E32" s="179" t="n"/>
      <c r="F32" s="179" t="n"/>
      <c r="G32" s="179" t="n"/>
      <c r="H32" s="179" t="n"/>
      <c r="I32" s="179" t="n"/>
      <c r="J32" s="179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1">
        <f>SUM(C32:U32)</f>
        <v>0</v>
      </c>
    </row>
    <row r="33" ht="16.5" customHeight="1" s="82">
      <c r="A33" s="177" t="n"/>
      <c r="B33" s="182" t="inlineStr">
        <is>
          <t>뇌출혈진단비</t>
        </is>
      </c>
      <c r="C33" s="179" t="n"/>
      <c r="D33" s="179" t="n"/>
      <c r="E33" s="179" t="n"/>
      <c r="F33" s="179" t="n"/>
      <c r="G33" s="179" t="n"/>
      <c r="H33" s="179" t="n"/>
      <c r="I33" s="179" t="n"/>
      <c r="J33" s="179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1">
        <f>SUM(C33:U33)</f>
        <v>0</v>
      </c>
    </row>
    <row r="34" ht="16.5" customHeight="1" s="82">
      <c r="A34" s="177" t="n"/>
      <c r="B34" s="182" t="inlineStr">
        <is>
          <t>외상성뇌출혈</t>
        </is>
      </c>
      <c r="C34" s="179" t="n"/>
      <c r="D34" s="179" t="n"/>
      <c r="E34" s="179" t="n"/>
      <c r="F34" s="179" t="n"/>
      <c r="G34" s="179" t="n"/>
      <c r="H34" s="179" t="n"/>
      <c r="I34" s="179" t="n"/>
      <c r="J34" s="179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1">
        <f>SUM(C34:U34)</f>
        <v>0</v>
      </c>
    </row>
    <row r="35" ht="16.5" customHeight="1" s="82">
      <c r="A35" s="177" t="n"/>
      <c r="B35" s="182" t="inlineStr">
        <is>
          <t>산정특례뇌혈관</t>
        </is>
      </c>
      <c r="C35" s="179" t="n"/>
      <c r="D35" s="179" t="n"/>
      <c r="E35" s="179" t="n"/>
      <c r="F35" s="179" t="n"/>
      <c r="G35" s="179" t="n"/>
      <c r="H35" s="179" t="n"/>
      <c r="I35" s="179" t="n"/>
      <c r="J35" s="179" t="n"/>
      <c r="K35" s="188" t="n">
        <v>500</v>
      </c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8" t="n">
        <v>600</v>
      </c>
      <c r="U35" s="180" t="n"/>
      <c r="V35" s="181">
        <f>SUM(C35:U35)</f>
        <v>1100</v>
      </c>
    </row>
    <row r="36" ht="16.5" customHeight="1" s="82">
      <c r="A36" s="177" t="n"/>
      <c r="B36" s="182" t="inlineStr">
        <is>
          <t>2대 주요치료비</t>
        </is>
      </c>
      <c r="C36" s="179" t="n"/>
      <c r="D36" s="179" t="n"/>
      <c r="E36" s="179" t="n"/>
      <c r="F36" s="179" t="n"/>
      <c r="G36" s="179" t="n"/>
      <c r="H36" s="179" t="n"/>
      <c r="I36" s="179" t="n"/>
      <c r="J36" s="179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1">
        <f>SUM(C36:U36)</f>
        <v>0</v>
      </c>
    </row>
    <row r="37" ht="16.5" customHeight="1" s="82">
      <c r="A37" s="184" t="n"/>
      <c r="B37" s="185" t="inlineStr">
        <is>
          <t>혈전용해치료비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60" t="n"/>
      <c r="L37" s="160" t="n"/>
      <c r="M37" s="160" t="n"/>
      <c r="N37" s="160" t="n"/>
      <c r="O37" s="160" t="n"/>
      <c r="P37" s="160" t="n"/>
      <c r="Q37" s="160" t="n"/>
      <c r="R37" s="160" t="n"/>
      <c r="S37" s="160" t="n"/>
      <c r="T37" s="160" t="n"/>
      <c r="U37" s="160" t="n"/>
      <c r="V37" s="166">
        <f>SUM(C37:U37)</f>
        <v>0</v>
      </c>
    </row>
    <row r="38" ht="16.5" customHeight="1" s="82">
      <c r="A38" s="187" t="inlineStr">
        <is>
          <t>심장</t>
        </is>
      </c>
      <c r="B38" s="182" t="inlineStr">
        <is>
          <t>협심증</t>
        </is>
      </c>
      <c r="C38" s="179" t="n"/>
      <c r="D38" s="179" t="n"/>
      <c r="E38" s="179" t="n"/>
      <c r="F38" s="179" t="n"/>
      <c r="G38" s="179" t="n"/>
      <c r="H38" s="179" t="n"/>
      <c r="I38" s="179" t="n"/>
      <c r="J38" s="179" t="n"/>
      <c r="K38" s="188" t="n">
        <v>100</v>
      </c>
      <c r="L38" s="180" t="n"/>
      <c r="M38" s="180" t="n"/>
      <c r="N38" s="180" t="n"/>
      <c r="O38" s="180" t="n"/>
      <c r="P38" s="190" t="n">
        <v>500</v>
      </c>
      <c r="Q38" s="180" t="n"/>
      <c r="R38" s="180" t="n"/>
      <c r="S38" s="180" t="n"/>
      <c r="T38" s="180" t="n"/>
      <c r="U38" s="180" t="n"/>
      <c r="V38" s="181">
        <f>SUM(C38:U38)</f>
        <v>600</v>
      </c>
    </row>
    <row r="39" ht="16.5" customHeight="1" s="82">
      <c r="A39" s="177" t="n"/>
      <c r="B39" s="182" t="inlineStr">
        <is>
          <t>심부전</t>
        </is>
      </c>
      <c r="C39" s="179" t="n"/>
      <c r="D39" s="179" t="n"/>
      <c r="E39" s="179" t="n"/>
      <c r="F39" s="179" t="n"/>
      <c r="G39" s="179" t="n"/>
      <c r="H39" s="179" t="n"/>
      <c r="I39" s="179" t="n"/>
      <c r="J39" s="179" t="n"/>
      <c r="K39" s="188" t="n">
        <v>100</v>
      </c>
      <c r="L39" s="180" t="n"/>
      <c r="M39" s="180" t="n"/>
      <c r="N39" s="180" t="n"/>
      <c r="O39" s="180" t="n"/>
      <c r="P39" s="190" t="n">
        <v>500</v>
      </c>
      <c r="Q39" s="180" t="n"/>
      <c r="R39" s="180" t="n"/>
      <c r="S39" s="180" t="n"/>
      <c r="T39" s="180" t="n"/>
      <c r="U39" s="180" t="n"/>
      <c r="V39" s="181">
        <f>SUM(C39:U39)</f>
        <v>600</v>
      </c>
    </row>
    <row r="40" ht="16.5" customHeight="1" s="82">
      <c r="A40" s="177" t="n"/>
      <c r="B40" s="182" t="inlineStr">
        <is>
          <t>빈맥</t>
        </is>
      </c>
      <c r="C40" s="179" t="n"/>
      <c r="D40" s="179" t="n"/>
      <c r="E40" s="179" t="n"/>
      <c r="F40" s="179" t="n"/>
      <c r="G40" s="179" t="n"/>
      <c r="H40" s="179" t="n"/>
      <c r="I40" s="179" t="n"/>
      <c r="J40" s="179" t="n"/>
      <c r="K40" s="188" t="n">
        <v>100</v>
      </c>
      <c r="L40" s="180" t="n"/>
      <c r="M40" s="180" t="n"/>
      <c r="N40" s="180" t="n"/>
      <c r="O40" s="180" t="n"/>
      <c r="P40" s="190" t="n">
        <v>500</v>
      </c>
      <c r="Q40" s="180" t="n"/>
      <c r="R40" s="180" t="n"/>
      <c r="S40" s="180" t="n"/>
      <c r="T40" s="180" t="n"/>
      <c r="U40" s="180" t="n"/>
      <c r="V40" s="181">
        <f>SUM(C40:U40)</f>
        <v>600</v>
      </c>
    </row>
    <row r="41" ht="17.25" customHeight="1" s="82">
      <c r="A41" s="177" t="n"/>
      <c r="B41" s="182" t="inlineStr">
        <is>
          <t>염증</t>
        </is>
      </c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80" t="n"/>
      <c r="L41" s="180" t="n"/>
      <c r="M41" s="180" t="n"/>
      <c r="N41" s="180" t="n"/>
      <c r="O41" s="180" t="n"/>
      <c r="P41" s="190" t="n">
        <v>700</v>
      </c>
      <c r="Q41" s="180" t="n"/>
      <c r="R41" s="180" t="n"/>
      <c r="S41" s="180" t="n"/>
      <c r="T41" s="180" t="n"/>
      <c r="U41" s="180" t="n"/>
      <c r="V41" s="181">
        <f>SUM(C41:U41)</f>
        <v>700</v>
      </c>
    </row>
    <row r="42" ht="16.5" customHeight="1" s="82">
      <c r="A42" s="177" t="n"/>
      <c r="B42" s="182" t="inlineStr">
        <is>
          <t>부정맥</t>
        </is>
      </c>
      <c r="C42" s="179" t="n"/>
      <c r="D42" s="179" t="n"/>
      <c r="E42" s="179" t="n"/>
      <c r="F42" s="179" t="n"/>
      <c r="G42" s="179" t="n"/>
      <c r="H42" s="179" t="n"/>
      <c r="I42" s="179" t="n"/>
      <c r="J42" s="179" t="n"/>
      <c r="K42" s="188" t="n">
        <v>100</v>
      </c>
      <c r="L42" s="190" t="n">
        <v>1100</v>
      </c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1">
        <f>SUM(C42:U42)</f>
        <v>1200</v>
      </c>
    </row>
    <row r="43" ht="16.5" customHeight="1" s="82">
      <c r="A43" s="177" t="n"/>
      <c r="B43" s="182" t="inlineStr">
        <is>
          <t>심근병증</t>
        </is>
      </c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90" t="n">
        <v>1000</v>
      </c>
      <c r="Q43" s="180" t="n"/>
      <c r="R43" s="180" t="n"/>
      <c r="S43" s="180" t="n"/>
      <c r="T43" s="180" t="n"/>
      <c r="U43" s="180" t="n"/>
      <c r="V43" s="181">
        <f>SUM(C43:U43)</f>
        <v>1000</v>
      </c>
    </row>
    <row r="44" ht="17.25" customHeight="1" s="82">
      <c r="A44" s="177" t="n"/>
      <c r="B44" s="182" t="inlineStr">
        <is>
          <t>심장판막</t>
        </is>
      </c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90" t="n">
        <v>100</v>
      </c>
      <c r="Q44" s="180" t="n"/>
      <c r="R44" s="180" t="n"/>
      <c r="S44" s="180" t="n"/>
      <c r="T44" s="180" t="n"/>
      <c r="U44" s="180" t="n"/>
      <c r="V44" s="181">
        <f>SUM(C44:U44)</f>
        <v>100</v>
      </c>
    </row>
    <row r="45" ht="17.25" customHeight="1" s="82">
      <c r="A45" s="177" t="n"/>
      <c r="B45" s="182" t="inlineStr">
        <is>
          <t>산정특례심장</t>
        </is>
      </c>
      <c r="C45" s="179" t="n"/>
      <c r="D45" s="179" t="n"/>
      <c r="E45" s="179" t="n"/>
      <c r="F45" s="179" t="n"/>
      <c r="G45" s="179" t="n"/>
      <c r="H45" s="179" t="n"/>
      <c r="I45" s="179" t="n"/>
      <c r="J45" s="179" t="n"/>
      <c r="K45" s="188" t="n">
        <v>500</v>
      </c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8" t="n">
        <v>600</v>
      </c>
      <c r="U45" s="180" t="n"/>
      <c r="V45" s="181">
        <f>SUM(C45:U45)</f>
        <v>1100</v>
      </c>
    </row>
    <row r="46" ht="16.5" customHeight="1" s="82">
      <c r="A46" s="177" t="n"/>
      <c r="B46" s="192" t="inlineStr">
        <is>
          <t>2대 주요치료비</t>
        </is>
      </c>
      <c r="C46" s="179" t="n"/>
      <c r="D46" s="179" t="n"/>
      <c r="E46" s="179" t="n"/>
      <c r="F46" s="179" t="n"/>
      <c r="G46" s="179" t="n"/>
      <c r="H46" s="179" t="n"/>
      <c r="I46" s="179" t="n"/>
      <c r="J46" s="179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1">
        <f>SUM(C46:U46)</f>
        <v>0</v>
      </c>
    </row>
    <row r="47" ht="16.5" customHeight="1" s="82">
      <c r="A47" s="177" t="n"/>
      <c r="B47" s="192" t="inlineStr">
        <is>
          <t>허혈성 진단비</t>
        </is>
      </c>
      <c r="C47" s="179" t="n"/>
      <c r="D47" s="179" t="n"/>
      <c r="E47" s="179" t="n"/>
      <c r="F47" s="179" t="n"/>
      <c r="G47" s="179" t="n"/>
      <c r="H47" s="179" t="n"/>
      <c r="I47" s="179" t="n"/>
      <c r="J47" s="179" t="n"/>
      <c r="K47" s="188" t="n">
        <v>400</v>
      </c>
      <c r="L47" s="190" t="n">
        <v>500</v>
      </c>
      <c r="M47" s="188" t="n">
        <v>300</v>
      </c>
      <c r="N47" s="180" t="n"/>
      <c r="O47" s="180" t="n"/>
      <c r="P47" s="190" t="n">
        <v>200</v>
      </c>
      <c r="Q47" s="180" t="n"/>
      <c r="R47" s="180" t="n"/>
      <c r="S47" s="180" t="n"/>
      <c r="T47" s="180" t="n"/>
      <c r="U47" s="180" t="n"/>
      <c r="V47" s="181">
        <f>SUM(C47:U47)</f>
        <v>1400</v>
      </c>
    </row>
    <row r="48" ht="16.5" customHeight="1" s="82">
      <c r="A48" s="177" t="n"/>
      <c r="B48" s="178" t="inlineStr">
        <is>
          <t>급성심근경색</t>
        </is>
      </c>
      <c r="C48" s="179" t="n"/>
      <c r="D48" s="179" t="n"/>
      <c r="E48" s="179" t="n"/>
      <c r="F48" s="179" t="n"/>
      <c r="G48" s="179" t="n"/>
      <c r="H48" s="179" t="n"/>
      <c r="I48" s="179" t="n"/>
      <c r="J48" s="179" t="n"/>
      <c r="K48" s="188" t="n">
        <v>1000</v>
      </c>
      <c r="L48" s="180" t="n"/>
      <c r="M48" s="188" t="n">
        <v>1000</v>
      </c>
      <c r="N48" s="180" t="n"/>
      <c r="O48" s="180" t="n"/>
      <c r="P48" s="190" t="n">
        <v>1000</v>
      </c>
      <c r="Q48" s="180" t="n"/>
      <c r="R48" s="180" t="n"/>
      <c r="S48" s="180" t="n"/>
      <c r="T48" s="180" t="n"/>
      <c r="U48" s="180" t="n"/>
      <c r="V48" s="181">
        <f>SUM(C48:U48)</f>
        <v>3000</v>
      </c>
    </row>
    <row r="49" ht="16.5" customHeight="1" s="82">
      <c r="A49" s="184" t="n"/>
      <c r="B49" s="193" t="inlineStr">
        <is>
          <t>중대한 급성심근</t>
        </is>
      </c>
      <c r="C49" s="186" t="n"/>
      <c r="D49" s="186" t="n"/>
      <c r="E49" s="186" t="n"/>
      <c r="F49" s="186" t="n"/>
      <c r="G49" s="186" t="n"/>
      <c r="H49" s="186" t="n"/>
      <c r="I49" s="186" t="n"/>
      <c r="J49" s="186" t="n"/>
      <c r="K49" s="160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6">
        <f>SUM(C49:U49)</f>
        <v>0</v>
      </c>
    </row>
    <row r="50" ht="16.5" customHeight="1" s="82">
      <c r="A50" s="187" t="inlineStr">
        <is>
          <t>일당</t>
        </is>
      </c>
      <c r="B50" s="182" t="inlineStr">
        <is>
          <t>혈전용해치료비</t>
        </is>
      </c>
      <c r="C50" s="179" t="n"/>
      <c r="D50" s="179" t="n"/>
      <c r="E50" s="179" t="n"/>
      <c r="F50" s="179" t="n"/>
      <c r="G50" s="179" t="n"/>
      <c r="H50" s="179" t="n"/>
      <c r="I50" s="179" t="n"/>
      <c r="J50" s="179" t="n"/>
      <c r="K50" s="188" t="n">
        <v>1000</v>
      </c>
      <c r="L50" s="190" t="n">
        <v>100</v>
      </c>
      <c r="M50" s="180" t="n"/>
      <c r="N50" s="180" t="n"/>
      <c r="O50" s="180" t="n"/>
      <c r="P50" s="190" t="n">
        <v>200</v>
      </c>
      <c r="Q50" s="180" t="n"/>
      <c r="R50" s="180" t="n"/>
      <c r="S50" s="180" t="n"/>
      <c r="T50" s="180" t="n"/>
      <c r="U50" s="180" t="n"/>
      <c r="V50" s="181">
        <f>SUM(C50:U50)</f>
        <v>1300</v>
      </c>
    </row>
    <row r="51" ht="16.5" customHeight="1" s="82">
      <c r="A51" s="177" t="n"/>
      <c r="B51" s="182" t="inlineStr">
        <is>
          <t>질병일당</t>
        </is>
      </c>
      <c r="C51" s="179" t="n"/>
      <c r="D51" s="179" t="n"/>
      <c r="E51" s="179" t="n"/>
      <c r="F51" s="179" t="n"/>
      <c r="G51" s="179" t="n"/>
      <c r="H51" s="179" t="n"/>
      <c r="I51" s="179" t="n"/>
      <c r="J51" s="179" t="n"/>
      <c r="K51" s="180" t="n"/>
      <c r="L51" s="180" t="n"/>
      <c r="M51" s="180" t="n"/>
      <c r="N51" s="180" t="n"/>
      <c r="O51" s="180" t="n"/>
      <c r="P51" s="190" t="n">
        <v>2</v>
      </c>
      <c r="Q51" s="180" t="n"/>
      <c r="R51" s="180" t="n"/>
      <c r="S51" s="180" t="n"/>
      <c r="T51" s="180" t="n"/>
      <c r="U51" s="188" t="n">
        <v>2</v>
      </c>
      <c r="V51" s="181">
        <f>SUM(C51:U51)</f>
        <v>4</v>
      </c>
    </row>
    <row r="52" ht="16.5" customHeight="1" s="82">
      <c r="A52" s="177" t="n"/>
      <c r="B52" s="182" t="inlineStr">
        <is>
          <t>질병수술일당</t>
        </is>
      </c>
      <c r="C52" s="179" t="n"/>
      <c r="D52" s="179" t="n"/>
      <c r="E52" s="179" t="n"/>
      <c r="F52" s="179" t="n"/>
      <c r="G52" s="179" t="n"/>
      <c r="H52" s="179" t="n"/>
      <c r="I52" s="179" t="n"/>
      <c r="J52" s="179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1">
        <f>SUM(C52:U52)</f>
        <v>0</v>
      </c>
    </row>
    <row r="53" ht="16.5" customHeight="1" s="82">
      <c r="A53" s="177" t="n"/>
      <c r="B53" s="182" t="inlineStr">
        <is>
          <t>질병종합병원일당</t>
        </is>
      </c>
      <c r="C53" s="179" t="n"/>
      <c r="D53" s="179" t="n"/>
      <c r="E53" s="179" t="n"/>
      <c r="F53" s="179" t="n"/>
      <c r="G53" s="179" t="n"/>
      <c r="H53" s="179" t="n"/>
      <c r="I53" s="179" t="n"/>
      <c r="J53" s="179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1">
        <f>SUM(C53:U53)</f>
        <v>0</v>
      </c>
    </row>
    <row r="54" ht="16.5" customHeight="1" s="82">
      <c r="A54" s="177" t="n"/>
      <c r="B54" s="182" t="inlineStr">
        <is>
          <t>상해일당</t>
        </is>
      </c>
      <c r="C54" s="179" t="n"/>
      <c r="D54" s="179" t="n"/>
      <c r="E54" s="179" t="n"/>
      <c r="F54" s="179" t="n"/>
      <c r="G54" s="179" t="n"/>
      <c r="H54" s="179" t="n"/>
      <c r="I54" s="179" t="n"/>
      <c r="J54" s="179" t="n"/>
      <c r="K54" s="180" t="n"/>
      <c r="L54" s="180" t="n"/>
      <c r="M54" s="180" t="n"/>
      <c r="N54" s="180" t="n"/>
      <c r="O54" s="180" t="n"/>
      <c r="P54" s="180" t="n"/>
      <c r="Q54" s="190" t="n">
        <v>2</v>
      </c>
      <c r="R54" s="180" t="n"/>
      <c r="S54" s="188" t="n">
        <v>1</v>
      </c>
      <c r="T54" s="180" t="n"/>
      <c r="U54" s="188" t="n">
        <v>2</v>
      </c>
      <c r="V54" s="181">
        <f>SUM(C54:U54)</f>
        <v>5</v>
      </c>
    </row>
    <row r="55" ht="16.5" customHeight="1" s="82">
      <c r="A55" s="177" t="n"/>
      <c r="B55" s="182" t="inlineStr">
        <is>
          <t>상해수술일당</t>
        </is>
      </c>
      <c r="C55" s="179" t="n"/>
      <c r="D55" s="179" t="n"/>
      <c r="E55" s="179" t="n"/>
      <c r="F55" s="179" t="n"/>
      <c r="G55" s="179" t="n"/>
      <c r="H55" s="179" t="n"/>
      <c r="I55" s="179" t="n"/>
      <c r="J55" s="179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1">
        <f>SUM(C55:U55)</f>
        <v>0</v>
      </c>
    </row>
    <row r="56" ht="16.5" customHeight="1" s="82">
      <c r="A56" s="177" t="n"/>
      <c r="B56" s="182" t="inlineStr">
        <is>
          <t>간병인</t>
        </is>
      </c>
      <c r="C56" s="179" t="n"/>
      <c r="D56" s="179" t="n"/>
      <c r="E56" s="179" t="n"/>
      <c r="F56" s="179" t="n"/>
      <c r="G56" s="183" t="n">
        <v>0</v>
      </c>
      <c r="H56" s="179" t="n"/>
      <c r="I56" s="179" t="n"/>
      <c r="J56" s="179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1">
        <f>IF(COUNT(C56:U56)=0,0,MAX(C56:U56))</f>
        <v>0</v>
      </c>
    </row>
    <row r="57" ht="16.5" customHeight="1" s="82">
      <c r="A57" s="177" t="n"/>
      <c r="B57" s="182" t="inlineStr">
        <is>
          <t>간병인지원일당</t>
        </is>
      </c>
      <c r="C57" s="179" t="n"/>
      <c r="D57" s="179" t="n"/>
      <c r="E57" s="179" t="n"/>
      <c r="F57" s="179" t="n"/>
      <c r="G57" s="179" t="n"/>
      <c r="H57" s="179" t="n"/>
      <c r="I57" s="179" t="n"/>
      <c r="J57" s="179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1">
        <f>SUM(C57:U57)</f>
        <v>0</v>
      </c>
    </row>
    <row r="58" ht="16.5" customHeight="1" s="82">
      <c r="A58" s="177" t="n"/>
      <c r="B58" s="182" t="inlineStr">
        <is>
          <t>간호통합병동</t>
        </is>
      </c>
      <c r="C58" s="179" t="n"/>
      <c r="D58" s="179" t="n"/>
      <c r="E58" s="179" t="n"/>
      <c r="F58" s="179" t="n"/>
      <c r="G58" s="179" t="n"/>
      <c r="H58" s="179" t="n"/>
      <c r="I58" s="179" t="n"/>
      <c r="J58" s="179" t="n"/>
      <c r="K58" s="180" t="n"/>
      <c r="L58" s="180" t="n"/>
      <c r="M58" s="180" t="n"/>
      <c r="N58" s="180" t="n"/>
      <c r="O58" s="180" t="n"/>
      <c r="P58" s="180" t="n"/>
      <c r="Q58" s="190" t="n">
        <v>22</v>
      </c>
      <c r="R58" s="180" t="n"/>
      <c r="S58" s="180" t="n"/>
      <c r="T58" s="180" t="n"/>
      <c r="U58" s="180" t="n"/>
      <c r="V58" s="181">
        <f>IF(SUM(C58:U58)&gt;0,7,0)</f>
        <v>7</v>
      </c>
    </row>
    <row r="59" ht="16.5" customHeight="1" s="82">
      <c r="A59" s="177" t="n"/>
      <c r="B59" s="192" t="inlineStr">
        <is>
          <t>1인실 종합병원</t>
        </is>
      </c>
      <c r="C59" s="179" t="n"/>
      <c r="D59" s="179" t="n"/>
      <c r="E59" s="179" t="n"/>
      <c r="F59" s="179" t="n"/>
      <c r="G59" s="179" t="n"/>
      <c r="H59" s="179" t="n"/>
      <c r="I59" s="179" t="n"/>
      <c r="J59" s="179" t="n"/>
      <c r="K59" s="180" t="n"/>
      <c r="L59" s="190" t="n">
        <v>400</v>
      </c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1">
        <f>SUM(C59:U59)</f>
        <v>400</v>
      </c>
    </row>
    <row r="60" ht="16.5" customHeight="1" s="82">
      <c r="A60" s="177" t="n"/>
      <c r="B60" s="192" t="inlineStr">
        <is>
          <t>1인실 상급병원</t>
        </is>
      </c>
      <c r="C60" s="179" t="n"/>
      <c r="D60" s="179" t="n"/>
      <c r="E60" s="179" t="n"/>
      <c r="F60" s="179" t="n"/>
      <c r="G60" s="179" t="n"/>
      <c r="H60" s="179" t="n"/>
      <c r="I60" s="179" t="n"/>
      <c r="J60" s="179" t="n"/>
      <c r="K60" s="180" t="n"/>
      <c r="L60" s="190" t="n">
        <v>100</v>
      </c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1">
        <f>SUM(C60:U60)</f>
        <v>100</v>
      </c>
    </row>
    <row r="61" ht="16.5" customHeight="1" s="82">
      <c r="A61" s="177" t="n"/>
      <c r="B61" s="182" t="inlineStr">
        <is>
          <t>질병중환자실</t>
        </is>
      </c>
      <c r="C61" s="179" t="n"/>
      <c r="D61" s="179" t="n"/>
      <c r="E61" s="179" t="n"/>
      <c r="F61" s="179" t="n"/>
      <c r="G61" s="179" t="n"/>
      <c r="H61" s="179" t="n"/>
      <c r="I61" s="179" t="n"/>
      <c r="J61" s="179" t="n"/>
      <c r="K61" s="188" t="n">
        <v>5</v>
      </c>
      <c r="L61" s="180" t="n"/>
      <c r="M61" s="180" t="n"/>
      <c r="N61" s="180" t="n"/>
      <c r="O61" s="180" t="n"/>
      <c r="P61" s="180" t="n"/>
      <c r="Q61" s="190" t="n">
        <v>20</v>
      </c>
      <c r="R61" s="180" t="n"/>
      <c r="S61" s="180" t="n"/>
      <c r="T61" s="180" t="n"/>
      <c r="U61" s="188" t="n">
        <v>15</v>
      </c>
      <c r="V61" s="181">
        <f>SUM(C61:U61)</f>
        <v>40</v>
      </c>
    </row>
    <row r="62" ht="17.25" customHeight="1" s="82">
      <c r="A62" s="184" t="n"/>
      <c r="B62" s="185" t="inlineStr">
        <is>
          <t>상해중환자실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63" t="n">
        <v>5</v>
      </c>
      <c r="L62" s="164" t="n">
        <v>10</v>
      </c>
      <c r="M62" s="160" t="n"/>
      <c r="N62" s="160" t="n"/>
      <c r="O62" s="160" t="n"/>
      <c r="P62" s="160" t="n"/>
      <c r="Q62" s="164" t="n">
        <v>20</v>
      </c>
      <c r="R62" s="160" t="n"/>
      <c r="S62" s="163" t="n">
        <v>10</v>
      </c>
      <c r="T62" s="160" t="n"/>
      <c r="U62" s="163" t="n">
        <v>15</v>
      </c>
      <c r="V62" s="166">
        <f>SUM(C62:U62)</f>
        <v>60</v>
      </c>
    </row>
    <row r="63" ht="17.25" customHeight="1" s="82">
      <c r="A63" s="187" t="inlineStr">
        <is>
          <t>수술</t>
        </is>
      </c>
      <c r="B63" s="182" t="inlineStr">
        <is>
          <t>상해수술비</t>
        </is>
      </c>
      <c r="C63" s="179" t="n"/>
      <c r="D63" s="183" t="n">
        <v>100</v>
      </c>
      <c r="E63" s="179" t="n"/>
      <c r="F63" s="179" t="n"/>
      <c r="G63" s="179" t="n"/>
      <c r="H63" s="179" t="n"/>
      <c r="I63" s="179" t="n"/>
      <c r="J63" s="179" t="n"/>
      <c r="K63" s="180" t="n"/>
      <c r="L63" s="180" t="n"/>
      <c r="M63" s="188" t="n">
        <v>100</v>
      </c>
      <c r="N63" s="180" t="n"/>
      <c r="O63" s="180" t="n"/>
      <c r="P63" s="190" t="n">
        <v>100</v>
      </c>
      <c r="Q63" s="180" t="n"/>
      <c r="R63" s="188" t="n">
        <v>100</v>
      </c>
      <c r="S63" s="180" t="n"/>
      <c r="T63" s="180" t="n"/>
      <c r="U63" s="188" t="n">
        <v>50</v>
      </c>
      <c r="V63" s="181">
        <f>SUM(C63:U63)</f>
        <v>450</v>
      </c>
    </row>
    <row r="64" ht="16.5" customHeight="1" s="82">
      <c r="A64" s="177" t="n"/>
      <c r="B64" s="182" t="inlineStr">
        <is>
          <t>중대한상해수술비</t>
        </is>
      </c>
      <c r="C64" s="179" t="n"/>
      <c r="D64" s="179" t="n"/>
      <c r="E64" s="179" t="n"/>
      <c r="F64" s="179" t="n"/>
      <c r="G64" s="179" t="n"/>
      <c r="H64" s="179" t="n"/>
      <c r="I64" s="179" t="n"/>
      <c r="J64" s="179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1">
        <f>SUM(C64:U64)</f>
        <v>0</v>
      </c>
    </row>
    <row r="65" ht="16.5" customHeight="1" s="82">
      <c r="A65" s="177" t="n"/>
      <c r="B65" s="182" t="inlineStr">
        <is>
          <t>상해 종수술비(1-5종)</t>
        </is>
      </c>
      <c r="C65" s="179" t="n"/>
      <c r="D65" s="179" t="n"/>
      <c r="E65" s="179" t="n"/>
      <c r="F65" s="191" t="n"/>
      <c r="G65" s="179" t="n"/>
      <c r="H65" s="179" t="n"/>
      <c r="I65" s="179" t="n"/>
      <c r="J65" s="179" t="n"/>
      <c r="K65" s="180" t="n"/>
      <c r="L65" s="180" t="n"/>
      <c r="M65" s="194" t="inlineStr">
        <is>
          <t>10/50/100/500/900</t>
        </is>
      </c>
      <c r="N65" s="180" t="n"/>
      <c r="O65" s="180" t="n"/>
      <c r="P65" s="180" t="n"/>
      <c r="Q65" s="180" t="n"/>
      <c r="R65" s="180" t="n"/>
      <c r="S65" s="194" t="inlineStr">
        <is>
          <t>10/10/50/100/100</t>
        </is>
      </c>
      <c r="T65" s="180" t="n"/>
      <c r="U65" s="180" t="n"/>
      <c r="V65" s="195" t="inlineStr">
        <is>
          <t>20/60/150/600/1000</t>
        </is>
      </c>
    </row>
    <row r="66" ht="16.5" customHeight="1" s="82">
      <c r="A66" s="177" t="n"/>
      <c r="B66" s="182" t="inlineStr">
        <is>
          <t>상해 종수술비(1-8종)</t>
        </is>
      </c>
      <c r="C66" s="179" t="n"/>
      <c r="D66" s="179" t="n"/>
      <c r="E66" s="179" t="n"/>
      <c r="F66" s="191" t="n"/>
      <c r="G66" s="179" t="n"/>
      <c r="H66" s="179" t="n"/>
      <c r="I66" s="179" t="n"/>
      <c r="J66" s="179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1">
        <f>SUM(C66:U66)</f>
        <v>0</v>
      </c>
    </row>
    <row r="67" ht="16.5" customHeight="1" s="82">
      <c r="A67" s="177" t="n"/>
      <c r="B67" s="182" t="inlineStr">
        <is>
          <t>창상봉합술</t>
        </is>
      </c>
      <c r="C67" s="179" t="n"/>
      <c r="D67" s="179" t="n"/>
      <c r="E67" s="179" t="n"/>
      <c r="F67" s="179" t="n"/>
      <c r="G67" s="179" t="n"/>
      <c r="H67" s="179" t="n"/>
      <c r="I67" s="179" t="n"/>
      <c r="J67" s="179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8" t="n">
        <v>30</v>
      </c>
      <c r="T67" s="180" t="n"/>
      <c r="U67" s="180" t="n"/>
      <c r="V67" s="181">
        <f>SUM(C67:U67)</f>
        <v>30</v>
      </c>
    </row>
    <row r="68" ht="17.25" customHeight="1" s="82">
      <c r="A68" s="177" t="n"/>
      <c r="B68" s="182" t="inlineStr">
        <is>
          <t>골절수술비</t>
        </is>
      </c>
      <c r="C68" s="179" t="n"/>
      <c r="D68" s="179" t="n"/>
      <c r="E68" s="179" t="n"/>
      <c r="F68" s="179" t="n"/>
      <c r="G68" s="179" t="n"/>
      <c r="H68" s="179" t="n"/>
      <c r="I68" s="179" t="n"/>
      <c r="J68" s="179" t="n"/>
      <c r="K68" s="180" t="n"/>
      <c r="L68" s="180" t="n"/>
      <c r="M68" s="188" t="n">
        <v>30</v>
      </c>
      <c r="N68" s="180" t="n"/>
      <c r="O68" s="180" t="n"/>
      <c r="P68" s="180" t="n"/>
      <c r="Q68" s="180" t="n"/>
      <c r="R68" s="180" t="n"/>
      <c r="S68" s="188" t="n">
        <v>60</v>
      </c>
      <c r="T68" s="180" t="n"/>
      <c r="U68" s="180" t="n"/>
      <c r="V68" s="181">
        <f>SUM(C68:U68)</f>
        <v>90</v>
      </c>
    </row>
    <row r="69" ht="16.5" customHeight="1" s="82">
      <c r="A69" s="177" t="n"/>
      <c r="B69" s="192" t="inlineStr">
        <is>
          <t>5대골절수술비</t>
        </is>
      </c>
      <c r="C69" s="179" t="n"/>
      <c r="D69" s="179" t="n"/>
      <c r="E69" s="179" t="n"/>
      <c r="F69" s="179" t="n"/>
      <c r="G69" s="179" t="n"/>
      <c r="H69" s="179" t="n"/>
      <c r="I69" s="179" t="n"/>
      <c r="J69" s="179" t="n"/>
      <c r="K69" s="180" t="n"/>
      <c r="L69" s="180" t="n"/>
      <c r="M69" s="188" t="n">
        <v>30</v>
      </c>
      <c r="N69" s="180" t="n"/>
      <c r="O69" s="180" t="n"/>
      <c r="P69" s="180" t="n"/>
      <c r="Q69" s="180" t="n"/>
      <c r="R69" s="180" t="n"/>
      <c r="S69" s="188" t="n">
        <v>50</v>
      </c>
      <c r="T69" s="180" t="n"/>
      <c r="U69" s="180" t="n"/>
      <c r="V69" s="181">
        <f>SUM(C69:U69)</f>
        <v>80</v>
      </c>
    </row>
    <row r="70" ht="16.5" customHeight="1" s="82">
      <c r="A70" s="177" t="n"/>
      <c r="B70" s="182" t="inlineStr">
        <is>
          <t>화상수술비</t>
        </is>
      </c>
      <c r="C70" s="179" t="n"/>
      <c r="D70" s="179" t="n"/>
      <c r="E70" s="179" t="n"/>
      <c r="F70" s="179" t="n"/>
      <c r="G70" s="179" t="n"/>
      <c r="H70" s="179" t="n"/>
      <c r="I70" s="179" t="n"/>
      <c r="J70" s="179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8" t="n">
        <v>10</v>
      </c>
      <c r="T70" s="180" t="n"/>
      <c r="U70" s="180" t="n"/>
      <c r="V70" s="181">
        <f>SUM(C70:U70)</f>
        <v>10</v>
      </c>
    </row>
    <row r="71" ht="16.5" customHeight="1" s="82">
      <c r="A71" s="196" t="n"/>
      <c r="B71" s="197" t="inlineStr">
        <is>
          <t>질병수술비</t>
        </is>
      </c>
      <c r="C71" s="174" t="n"/>
      <c r="D71" s="174" t="n"/>
      <c r="E71" s="174" t="n"/>
      <c r="F71" s="174" t="n"/>
      <c r="G71" s="174" t="n"/>
      <c r="H71" s="174" t="n"/>
      <c r="I71" s="198" t="n">
        <v>20</v>
      </c>
      <c r="J71" s="174" t="n"/>
      <c r="K71" s="175" t="n"/>
      <c r="L71" s="175" t="n"/>
      <c r="M71" s="199" t="n">
        <v>10</v>
      </c>
      <c r="N71" s="175" t="n"/>
      <c r="O71" s="175" t="n"/>
      <c r="P71" s="175" t="n"/>
      <c r="Q71" s="175" t="n"/>
      <c r="R71" s="175" t="n"/>
      <c r="S71" s="175" t="n"/>
      <c r="T71" s="175" t="n"/>
      <c r="U71" s="199" t="n">
        <v>30</v>
      </c>
      <c r="V71" s="176">
        <f>SUM(C71:U71)</f>
        <v>60</v>
      </c>
    </row>
    <row r="72" ht="16.5" customHeight="1" s="82">
      <c r="A72" s="177" t="n"/>
      <c r="B72" s="182" t="inlineStr">
        <is>
          <t>질병 종수술비(1-5종)</t>
        </is>
      </c>
      <c r="C72" s="179" t="n"/>
      <c r="D72" s="179" t="n"/>
      <c r="E72" s="179" t="n"/>
      <c r="F72" s="191" t="n"/>
      <c r="G72" s="179" t="n"/>
      <c r="H72" s="179" t="n"/>
      <c r="I72" s="179" t="n"/>
      <c r="J72" s="179" t="n"/>
      <c r="K72" s="180" t="n"/>
      <c r="L72" s="200" t="inlineStr">
        <is>
          <t>0/0/0/0/100</t>
        </is>
      </c>
      <c r="M72" s="194" t="inlineStr">
        <is>
          <t>10/50/100/500/1000</t>
        </is>
      </c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95" t="inlineStr">
        <is>
          <t>10/50/100/500/1100</t>
        </is>
      </c>
    </row>
    <row r="73" ht="16.5" customHeight="1" s="82">
      <c r="A73" s="177" t="n"/>
      <c r="B73" s="182" t="inlineStr">
        <is>
          <t>질병 종수술비(1-8종)</t>
        </is>
      </c>
      <c r="C73" s="179" t="n"/>
      <c r="D73" s="179" t="n"/>
      <c r="E73" s="179" t="n"/>
      <c r="F73" s="191" t="n"/>
      <c r="G73" s="179" t="n"/>
      <c r="H73" s="179" t="n"/>
      <c r="I73" s="179" t="n"/>
      <c r="J73" s="179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1">
        <f>SUM(C73:U73)</f>
        <v>0</v>
      </c>
    </row>
    <row r="74" ht="16.5" customHeight="1" s="82">
      <c r="A74" s="177" t="n"/>
      <c r="B74" s="182" t="inlineStr">
        <is>
          <t>뇌혈관수술비</t>
        </is>
      </c>
      <c r="C74" s="179" t="n"/>
      <c r="D74" s="179" t="n"/>
      <c r="E74" s="179" t="n"/>
      <c r="F74" s="179" t="n"/>
      <c r="G74" s="179" t="n"/>
      <c r="H74" s="179" t="n"/>
      <c r="I74" s="189" t="n">
        <v>500</v>
      </c>
      <c r="J74" s="179" t="n"/>
      <c r="K74" s="188" t="n">
        <v>500</v>
      </c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1">
        <f>SUM(C74:U74)</f>
        <v>1000</v>
      </c>
    </row>
    <row r="75" ht="16.5" customHeight="1" s="82">
      <c r="A75" s="177" t="n"/>
      <c r="B75" s="182" t="inlineStr">
        <is>
          <t>허혈성수술비</t>
        </is>
      </c>
      <c r="C75" s="179" t="n"/>
      <c r="D75" s="179" t="n"/>
      <c r="E75" s="179" t="n"/>
      <c r="F75" s="179" t="n"/>
      <c r="G75" s="179" t="n"/>
      <c r="H75" s="179" t="n"/>
      <c r="I75" s="189" t="n">
        <v>500</v>
      </c>
      <c r="J75" s="179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1">
        <f>SUM(C75:U75)</f>
        <v>500</v>
      </c>
    </row>
    <row r="76" ht="17.25" customHeight="1" s="82">
      <c r="A76" s="177" t="n"/>
      <c r="B76" s="182" t="inlineStr">
        <is>
          <t>심장수술비</t>
        </is>
      </c>
      <c r="C76" s="179" t="n"/>
      <c r="D76" s="179" t="n"/>
      <c r="E76" s="179" t="n"/>
      <c r="F76" s="179" t="n"/>
      <c r="G76" s="179" t="n"/>
      <c r="H76" s="179" t="n"/>
      <c r="I76" s="179" t="n"/>
      <c r="J76" s="179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1">
        <f>SUM(C76:U76)</f>
        <v>0</v>
      </c>
    </row>
    <row r="77" ht="16.5" customHeight="1" s="82">
      <c r="A77" s="177" t="n"/>
      <c r="B77" s="192" t="inlineStr">
        <is>
          <t>120대수술비</t>
        </is>
      </c>
      <c r="C77" s="179" t="n"/>
      <c r="D77" s="179" t="n"/>
      <c r="E77" s="179" t="n"/>
      <c r="F77" s="179" t="n"/>
      <c r="G77" s="179" t="n"/>
      <c r="H77" s="179" t="n"/>
      <c r="I77" s="189" t="n">
        <v>300</v>
      </c>
      <c r="J77" s="179" t="n"/>
      <c r="K77" s="180" t="n"/>
      <c r="L77" s="180" t="n"/>
      <c r="M77" s="188" t="n">
        <v>500</v>
      </c>
      <c r="N77" s="180" t="n"/>
      <c r="O77" s="180" t="n"/>
      <c r="P77" s="190" t="n">
        <v>1000</v>
      </c>
      <c r="Q77" s="180" t="n"/>
      <c r="R77" s="180" t="n"/>
      <c r="S77" s="180" t="n"/>
      <c r="T77" s="180" t="n"/>
      <c r="U77" s="180" t="n"/>
      <c r="V77" s="181">
        <f>IF(COUNT(C77:U77)=0,0,MAX(C77:U77))</f>
        <v>1000</v>
      </c>
    </row>
    <row r="78" ht="16.5" customHeight="1" s="82">
      <c r="A78" s="177" t="n"/>
      <c r="B78" s="192" t="inlineStr">
        <is>
          <t>5대기관 수술비 관혈</t>
        </is>
      </c>
      <c r="C78" s="179" t="n"/>
      <c r="D78" s="179" t="n"/>
      <c r="E78" s="179" t="n"/>
      <c r="F78" s="179" t="n"/>
      <c r="G78" s="179" t="n"/>
      <c r="H78" s="179" t="n"/>
      <c r="I78" s="179" t="n"/>
      <c r="J78" s="179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1">
        <f>SUM(C78:U78)</f>
        <v>0</v>
      </c>
    </row>
    <row r="79" ht="17.25" customHeight="1" s="82">
      <c r="A79" s="184" t="n"/>
      <c r="B79" s="201" t="inlineStr">
        <is>
          <t>5대기관 수술비 비관혈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60" t="n"/>
      <c r="L79" s="160" t="n"/>
      <c r="M79" s="160" t="n"/>
      <c r="N79" s="160" t="n"/>
      <c r="O79" s="160" t="n"/>
      <c r="P79" s="160" t="n"/>
      <c r="Q79" s="160" t="n"/>
      <c r="R79" s="160" t="n"/>
      <c r="S79" s="160" t="n"/>
      <c r="T79" s="160" t="n"/>
      <c r="U79" s="160" t="n"/>
      <c r="V79" s="166">
        <f>SUM(C79:U79)</f>
        <v>0</v>
      </c>
    </row>
    <row r="80" ht="17.25" customHeight="1" s="82">
      <c r="A80" s="187" t="inlineStr">
        <is>
          <t>운전</t>
        </is>
      </c>
      <c r="B80" s="182" t="inlineStr">
        <is>
          <t>대인</t>
        </is>
      </c>
      <c r="C80" s="179" t="n"/>
      <c r="D80" s="179" t="n"/>
      <c r="E80" s="179" t="n"/>
      <c r="F80" s="179" t="n"/>
      <c r="G80" s="179" t="n"/>
      <c r="H80" s="179" t="n"/>
      <c r="I80" s="179" t="n"/>
      <c r="J80" s="179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8" t="n">
        <v>3000</v>
      </c>
      <c r="T80" s="180" t="n"/>
      <c r="U80" s="180" t="n"/>
      <c r="V80" s="181">
        <f>SUM(C80:U80)</f>
        <v>3000</v>
      </c>
    </row>
    <row r="81" ht="17.25" customHeight="1" s="82">
      <c r="A81" s="177" t="n"/>
      <c r="B81" s="182" t="inlineStr">
        <is>
          <t>대물</t>
        </is>
      </c>
      <c r="C81" s="179" t="n"/>
      <c r="D81" s="179" t="n"/>
      <c r="E81" s="179" t="n"/>
      <c r="F81" s="179" t="n"/>
      <c r="G81" s="179" t="n"/>
      <c r="H81" s="179" t="n"/>
      <c r="I81" s="179" t="n"/>
      <c r="J81" s="179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8" t="n">
        <v>500</v>
      </c>
      <c r="T81" s="180" t="n"/>
      <c r="U81" s="180" t="n"/>
      <c r="V81" s="181">
        <f>SUM(C81:U81)</f>
        <v>500</v>
      </c>
    </row>
    <row r="82" ht="16.5" customHeight="1" s="82">
      <c r="A82" s="177" t="n"/>
      <c r="B82" s="182" t="inlineStr">
        <is>
          <t>합의금</t>
        </is>
      </c>
      <c r="C82" s="179" t="n"/>
      <c r="D82" s="179" t="n"/>
      <c r="E82" s="179" t="n"/>
      <c r="F82" s="179" t="n"/>
      <c r="G82" s="179" t="n"/>
      <c r="H82" s="179" t="n"/>
      <c r="I82" s="179" t="n"/>
      <c r="J82" s="179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8" t="n">
        <v>20000</v>
      </c>
      <c r="T82" s="180" t="n"/>
      <c r="U82" s="180" t="n"/>
      <c r="V82" s="181">
        <f>SUM(C82:U82)</f>
        <v>20000</v>
      </c>
    </row>
    <row r="83" ht="17.25" customHeight="1" s="82">
      <c r="A83" s="177" t="n"/>
      <c r="B83" s="192" t="inlineStr">
        <is>
          <t>6주미만</t>
        </is>
      </c>
      <c r="C83" s="179" t="n"/>
      <c r="D83" s="179" t="n"/>
      <c r="E83" s="179" t="n"/>
      <c r="F83" s="179" t="n"/>
      <c r="G83" s="179" t="n"/>
      <c r="H83" s="179" t="n"/>
      <c r="I83" s="179" t="n"/>
      <c r="J83" s="179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8" t="n">
        <v>1000</v>
      </c>
      <c r="T83" s="180" t="n"/>
      <c r="U83" s="180" t="n"/>
      <c r="V83" s="181">
        <f>SUM(C83:U83)</f>
        <v>1000</v>
      </c>
    </row>
    <row r="84" ht="16.5" customHeight="1" s="82">
      <c r="A84" s="177" t="n"/>
      <c r="B84" s="182" t="inlineStr">
        <is>
          <t>변호사</t>
        </is>
      </c>
      <c r="C84" s="179" t="n"/>
      <c r="D84" s="179" t="n"/>
      <c r="E84" s="179" t="n"/>
      <c r="F84" s="179" t="n"/>
      <c r="G84" s="179" t="n"/>
      <c r="H84" s="179" t="n"/>
      <c r="I84" s="179" t="n"/>
      <c r="J84" s="179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8" t="n">
        <v>5000</v>
      </c>
      <c r="T84" s="180" t="n"/>
      <c r="U84" s="180" t="n"/>
      <c r="V84" s="181">
        <f>SUM(C84:U84)</f>
        <v>5000</v>
      </c>
    </row>
    <row r="85" ht="17.25" customHeight="1" s="82">
      <c r="A85" s="184" t="n"/>
      <c r="B85" s="185" t="inlineStr">
        <is>
          <t>자부상</t>
        </is>
      </c>
      <c r="C85" s="186" t="n"/>
      <c r="D85" s="186" t="n"/>
      <c r="E85" s="186" t="n"/>
      <c r="F85" s="186" t="n"/>
      <c r="G85" s="186" t="n"/>
      <c r="H85" s="186" t="n"/>
      <c r="I85" s="186" t="n"/>
      <c r="J85" s="186" t="n"/>
      <c r="K85" s="160" t="n"/>
      <c r="L85" s="160" t="n"/>
      <c r="M85" s="160" t="n"/>
      <c r="N85" s="160" t="n"/>
      <c r="O85" s="160" t="n"/>
      <c r="P85" s="160" t="n"/>
      <c r="Q85" s="160" t="n"/>
      <c r="R85" s="160" t="n"/>
      <c r="S85" s="163" t="n">
        <v>30</v>
      </c>
      <c r="T85" s="160" t="n"/>
      <c r="U85" s="160" t="n"/>
      <c r="V85" s="166">
        <f>MIN(SUM(C85:U85),80)</f>
        <v>30</v>
      </c>
    </row>
    <row r="86" ht="16.5" customHeight="1" s="82">
      <c r="A86" s="187" t="inlineStr">
        <is>
          <t>골절</t>
        </is>
      </c>
      <c r="B86" s="182" t="inlineStr">
        <is>
          <t>골절(치아파절포함)</t>
        </is>
      </c>
      <c r="C86" s="179" t="n"/>
      <c r="D86" s="179" t="n"/>
      <c r="E86" s="179" t="n"/>
      <c r="F86" s="179" t="n"/>
      <c r="G86" s="179" t="n"/>
      <c r="H86" s="179" t="n"/>
      <c r="I86" s="179" t="n"/>
      <c r="J86" s="179" t="n"/>
      <c r="K86" s="180" t="n"/>
      <c r="L86" s="180" t="n"/>
      <c r="M86" s="188" t="n">
        <v>30</v>
      </c>
      <c r="N86" s="180" t="n"/>
      <c r="O86" s="180" t="n"/>
      <c r="P86" s="180" t="n"/>
      <c r="Q86" s="180" t="n"/>
      <c r="R86" s="188" t="n">
        <v>30</v>
      </c>
      <c r="S86" s="180" t="n"/>
      <c r="T86" s="180" t="n"/>
      <c r="U86" s="180" t="n"/>
      <c r="V86" s="181">
        <f>SUM(C86:U86)</f>
        <v>60</v>
      </c>
    </row>
    <row r="87" ht="16.5" customHeight="1" s="82">
      <c r="A87" s="177" t="n"/>
      <c r="B87" s="182" t="inlineStr">
        <is>
          <t>골절(치아파절제외)</t>
        </is>
      </c>
      <c r="C87" s="179" t="n"/>
      <c r="D87" s="179" t="n"/>
      <c r="E87" s="179" t="n"/>
      <c r="F87" s="179" t="n"/>
      <c r="G87" s="179" t="n"/>
      <c r="H87" s="179" t="n"/>
      <c r="I87" s="179" t="n"/>
      <c r="J87" s="179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1">
        <f>SUM(C87:U87)</f>
        <v>0</v>
      </c>
    </row>
    <row r="88" ht="17.25" customHeight="1" s="82">
      <c r="A88" s="184" t="n"/>
      <c r="B88" s="201" t="inlineStr">
        <is>
          <t>5대골절진단비</t>
        </is>
      </c>
      <c r="C88" s="186" t="n"/>
      <c r="D88" s="186" t="n"/>
      <c r="E88" s="186" t="n"/>
      <c r="F88" s="186" t="n"/>
      <c r="G88" s="186" t="n"/>
      <c r="H88" s="186" t="n"/>
      <c r="I88" s="186" t="n"/>
      <c r="J88" s="186" t="n"/>
      <c r="K88" s="160" t="n"/>
      <c r="L88" s="160" t="n"/>
      <c r="M88" s="163" t="n">
        <v>100</v>
      </c>
      <c r="N88" s="160" t="n"/>
      <c r="O88" s="160" t="n"/>
      <c r="P88" s="160" t="n"/>
      <c r="Q88" s="160" t="n"/>
      <c r="R88" s="163" t="n">
        <v>100</v>
      </c>
      <c r="S88" s="160" t="n"/>
      <c r="T88" s="160" t="n"/>
      <c r="U88" s="160" t="n"/>
      <c r="V88" s="166">
        <f>SUM(C88:U88)</f>
        <v>200</v>
      </c>
    </row>
    <row r="89" ht="17.25" customHeight="1" s="82">
      <c r="A89" s="202" t="inlineStr">
        <is>
          <t>응급실</t>
        </is>
      </c>
      <c r="B89" s="185" t="inlineStr">
        <is>
          <t>응급실(응급)</t>
        </is>
      </c>
      <c r="C89" s="186" t="n"/>
      <c r="D89" s="186" t="n"/>
      <c r="E89" s="186" t="n"/>
      <c r="F89" s="186" t="n"/>
      <c r="G89" s="186" t="n"/>
      <c r="H89" s="186" t="n"/>
      <c r="I89" s="186" t="n"/>
      <c r="J89" s="186" t="n"/>
      <c r="K89" s="160" t="n"/>
      <c r="L89" s="160" t="n"/>
      <c r="M89" s="160" t="n"/>
      <c r="N89" s="160" t="n"/>
      <c r="O89" s="160" t="n"/>
      <c r="P89" s="160" t="n"/>
      <c r="Q89" s="160" t="n"/>
      <c r="R89" s="160" t="n"/>
      <c r="S89" s="163" t="n">
        <v>3</v>
      </c>
      <c r="T89" s="160" t="n"/>
      <c r="U89" s="160" t="n"/>
      <c r="V89" s="166">
        <f>SUM(C89:U89)</f>
        <v>3</v>
      </c>
    </row>
    <row r="90">
      <c r="A90" s="202" t="inlineStr">
        <is>
          <t>독감</t>
        </is>
      </c>
      <c r="B90" s="185" t="inlineStr">
        <is>
          <t>독감</t>
        </is>
      </c>
      <c r="C90" s="186" t="n"/>
      <c r="D90" s="186" t="n"/>
      <c r="E90" s="186" t="n"/>
      <c r="F90" s="186" t="n"/>
      <c r="G90" s="186" t="n"/>
      <c r="H90" s="186" t="n"/>
      <c r="I90" s="186" t="n"/>
      <c r="J90" s="186" t="n"/>
      <c r="K90" s="160" t="n"/>
      <c r="L90" s="160" t="n"/>
      <c r="M90" s="160" t="n"/>
      <c r="N90" s="160" t="n"/>
      <c r="O90" s="160" t="n"/>
      <c r="P90" s="160" t="n"/>
      <c r="Q90" s="160" t="n"/>
      <c r="R90" s="160" t="n"/>
      <c r="S90" s="160" t="n"/>
      <c r="T90" s="160" t="n"/>
      <c r="U90" s="160" t="n"/>
      <c r="V90" s="166">
        <f>SUM(C90:U90)</f>
        <v>0</v>
      </c>
    </row>
    <row r="91">
      <c r="A91" s="187" t="inlineStr">
        <is>
          <t>화상</t>
        </is>
      </c>
      <c r="B91" s="182" t="inlineStr">
        <is>
          <t>화상진단비</t>
        </is>
      </c>
      <c r="C91" s="179" t="n"/>
      <c r="D91" s="179" t="n"/>
      <c r="E91" s="179" t="n"/>
      <c r="F91" s="179" t="n"/>
      <c r="G91" s="179" t="n"/>
      <c r="H91" s="179" t="n"/>
      <c r="I91" s="179" t="n"/>
      <c r="J91" s="179" t="n"/>
      <c r="K91" s="180" t="n"/>
      <c r="L91" s="180" t="n"/>
      <c r="M91" s="188" t="n">
        <v>30</v>
      </c>
      <c r="N91" s="180" t="n"/>
      <c r="O91" s="180" t="n"/>
      <c r="P91" s="180" t="n"/>
      <c r="Q91" s="180" t="n"/>
      <c r="R91" s="180" t="n"/>
      <c r="S91" s="188" t="n">
        <v>20</v>
      </c>
      <c r="T91" s="180" t="n"/>
      <c r="U91" s="180" t="n"/>
      <c r="V91" s="181">
        <f>SUM(C91:U91)</f>
        <v>50</v>
      </c>
    </row>
    <row r="92">
      <c r="A92" s="184" t="n"/>
      <c r="B92" s="185" t="inlineStr">
        <is>
          <t>중증화상진단비</t>
        </is>
      </c>
      <c r="C92" s="186" t="n"/>
      <c r="D92" s="186" t="n"/>
      <c r="E92" s="186" t="n"/>
      <c r="F92" s="186" t="n"/>
      <c r="G92" s="186" t="n"/>
      <c r="H92" s="186" t="n"/>
      <c r="I92" s="186" t="n"/>
      <c r="J92" s="186" t="n"/>
      <c r="K92" s="160" t="n"/>
      <c r="L92" s="160" t="n"/>
      <c r="M92" s="160" t="n"/>
      <c r="N92" s="160" t="n"/>
      <c r="O92" s="160" t="n"/>
      <c r="P92" s="160" t="n"/>
      <c r="Q92" s="160" t="n"/>
      <c r="R92" s="160" t="n"/>
      <c r="S92" s="160" t="n"/>
      <c r="T92" s="160" t="n"/>
      <c r="U92" s="160" t="n"/>
      <c r="V92" s="166">
        <f>SUM(C92:U92)</f>
        <v>0</v>
      </c>
    </row>
    <row r="93">
      <c r="A93" s="187" t="inlineStr">
        <is>
          <t>깁스</t>
        </is>
      </c>
      <c r="B93" s="182" t="inlineStr">
        <is>
          <t>반깁스</t>
        </is>
      </c>
      <c r="C93" s="179" t="n"/>
      <c r="D93" s="179" t="n"/>
      <c r="E93" s="179" t="n"/>
      <c r="F93" s="179" t="n"/>
      <c r="G93" s="179" t="n"/>
      <c r="H93" s="179" t="n"/>
      <c r="I93" s="179" t="n"/>
      <c r="J93" s="179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1">
        <f>SUM(C93:U93)</f>
        <v>0</v>
      </c>
    </row>
    <row r="94">
      <c r="A94" s="184" t="n"/>
      <c r="B94" s="185" t="inlineStr">
        <is>
          <t>깁스진단비</t>
        </is>
      </c>
      <c r="C94" s="186" t="n"/>
      <c r="D94" s="161" t="n">
        <v>10</v>
      </c>
      <c r="E94" s="186" t="n"/>
      <c r="F94" s="186" t="n"/>
      <c r="G94" s="186" t="n"/>
      <c r="H94" s="186" t="n"/>
      <c r="I94" s="186" t="n"/>
      <c r="J94" s="186" t="n"/>
      <c r="K94" s="160" t="n"/>
      <c r="L94" s="160" t="n"/>
      <c r="M94" s="160" t="n"/>
      <c r="N94" s="160" t="n"/>
      <c r="O94" s="160" t="n"/>
      <c r="P94" s="160" t="n"/>
      <c r="Q94" s="160" t="n"/>
      <c r="R94" s="160" t="n"/>
      <c r="S94" s="163" t="n">
        <v>50</v>
      </c>
      <c r="T94" s="160" t="n"/>
      <c r="U94" s="160" t="n"/>
      <c r="V94" s="166">
        <f>SUM(C94:U94)</f>
        <v>60</v>
      </c>
    </row>
    <row r="95" s="82">
      <c r="A95" s="187" t="inlineStr">
        <is>
          <t>실손</t>
        </is>
      </c>
      <c r="B95" s="182" t="inlineStr">
        <is>
          <t>입원</t>
        </is>
      </c>
      <c r="C95" s="191" t="n"/>
      <c r="D95" s="191" t="n"/>
      <c r="E95" s="191" t="n"/>
      <c r="F95" s="191" t="n"/>
      <c r="G95" s="191" t="n"/>
      <c r="H95" s="191" t="n"/>
      <c r="I95" s="191" t="n"/>
      <c r="J95" s="179" t="n"/>
      <c r="K95" s="180" t="n"/>
      <c r="L95" s="180" t="n"/>
      <c r="M95" s="180" t="n"/>
      <c r="N95" s="180" t="n"/>
      <c r="O95" s="188" t="n">
        <v>5000</v>
      </c>
      <c r="P95" s="180" t="n"/>
      <c r="Q95" s="180" t="n"/>
      <c r="R95" s="180" t="n"/>
      <c r="S95" s="180" t="n"/>
      <c r="T95" s="180" t="n"/>
      <c r="U95" s="180" t="n"/>
      <c r="V95" s="181">
        <f>MIN(SUM(C95:U95),5000)</f>
        <v>5000</v>
      </c>
    </row>
    <row r="96" s="82">
      <c r="A96" s="177" t="n"/>
      <c r="B96" s="182" t="inlineStr">
        <is>
          <t>통원</t>
        </is>
      </c>
      <c r="C96" s="191" t="n"/>
      <c r="D96" s="191" t="n"/>
      <c r="E96" s="191" t="n"/>
      <c r="F96" s="191" t="n"/>
      <c r="G96" s="191" t="n"/>
      <c r="H96" s="191" t="n"/>
      <c r="I96" s="191" t="n"/>
      <c r="J96" s="179" t="n"/>
      <c r="K96" s="180" t="n"/>
      <c r="L96" s="180" t="n"/>
      <c r="M96" s="180" t="n"/>
      <c r="N96" s="180" t="n"/>
      <c r="O96" s="188" t="n">
        <v>25</v>
      </c>
      <c r="P96" s="180" t="n"/>
      <c r="Q96" s="180" t="n"/>
      <c r="R96" s="180" t="n"/>
      <c r="S96" s="180" t="n"/>
      <c r="T96" s="180" t="n"/>
      <c r="U96" s="180" t="n"/>
      <c r="V96" s="181">
        <f>SUM(C96:U96)</f>
        <v>25</v>
      </c>
    </row>
    <row r="97">
      <c r="A97" s="177" t="n"/>
      <c r="B97" s="182" t="inlineStr">
        <is>
          <t>약값</t>
        </is>
      </c>
      <c r="C97" s="179" t="n"/>
      <c r="D97" s="179" t="n"/>
      <c r="E97" s="179" t="n"/>
      <c r="F97" s="179" t="n"/>
      <c r="G97" s="179" t="n"/>
      <c r="H97" s="179" t="n"/>
      <c r="I97" s="191" t="n"/>
      <c r="J97" s="179" t="n"/>
      <c r="K97" s="180" t="n"/>
      <c r="L97" s="180" t="n"/>
      <c r="M97" s="180" t="n"/>
      <c r="N97" s="180" t="n"/>
      <c r="O97" s="188" t="n">
        <v>5</v>
      </c>
      <c r="P97" s="180" t="n"/>
      <c r="Q97" s="180" t="n"/>
      <c r="R97" s="180" t="n"/>
      <c r="S97" s="180" t="n"/>
      <c r="T97" s="180" t="n"/>
      <c r="U97" s="180" t="n"/>
      <c r="V97" s="181">
        <f>SUM(C97:U97)</f>
        <v>5</v>
      </c>
    </row>
    <row r="98">
      <c r="A98" s="184" t="n"/>
      <c r="B98" s="185" t="inlineStr">
        <is>
          <t>MRI/도수치료/비급여주사</t>
        </is>
      </c>
      <c r="C98" s="186" t="n"/>
      <c r="D98" s="186" t="n"/>
      <c r="E98" s="186" t="n"/>
      <c r="F98" s="186" t="n"/>
      <c r="G98" s="186" t="n"/>
      <c r="H98" s="186" t="n"/>
      <c r="I98" s="203" t="n"/>
      <c r="J98" s="186" t="n"/>
      <c r="K98" s="160" t="n"/>
      <c r="L98" s="160" t="n"/>
      <c r="M98" s="160" t="n"/>
      <c r="N98" s="160" t="n"/>
      <c r="O98" s="170" t="inlineStr">
        <is>
          <t>300/350/250</t>
        </is>
      </c>
      <c r="P98" s="160" t="n"/>
      <c r="Q98" s="160" t="n"/>
      <c r="R98" s="160" t="n"/>
      <c r="S98" s="170" t="inlineStr">
        <is>
          <t>5/0/0</t>
        </is>
      </c>
      <c r="T98" s="160" t="n"/>
      <c r="U98" s="160" t="n"/>
      <c r="V98" s="204" t="inlineStr">
        <is>
          <t>305/350/250</t>
        </is>
      </c>
    </row>
    <row r="99">
      <c r="A99" s="202" t="inlineStr">
        <is>
          <t>일배책</t>
        </is>
      </c>
      <c r="B99" s="185" t="inlineStr">
        <is>
          <t>일상배상책임</t>
        </is>
      </c>
      <c r="C99" s="203" t="n"/>
      <c r="D99" s="203" t="n"/>
      <c r="E99" s="203" t="n"/>
      <c r="F99" s="203" t="n"/>
      <c r="G99" s="203" t="n"/>
      <c r="H99" s="203" t="n"/>
      <c r="I99" s="203" t="n"/>
      <c r="J99" s="186" t="n"/>
      <c r="K99" s="160" t="n"/>
      <c r="L99" s="160" t="n"/>
      <c r="M99" s="160" t="n"/>
      <c r="N99" s="160" t="n"/>
      <c r="O99" s="160" t="n"/>
      <c r="P99" s="160" t="n"/>
      <c r="Q99" s="160" t="n"/>
      <c r="R99" s="160" t="n"/>
      <c r="S99" s="163" t="n">
        <v>10000</v>
      </c>
      <c r="T99" s="160" t="n"/>
      <c r="U99" s="160" t="n"/>
      <c r="V99" s="166">
        <f>SUM(C99:U99)</f>
        <v>10000</v>
      </c>
    </row>
  </sheetData>
  <mergeCells count="17">
    <mergeCell ref="A30:A37"/>
    <mergeCell ref="A63:A79"/>
    <mergeCell ref="A93:A94"/>
    <mergeCell ref="A4:B4"/>
    <mergeCell ref="A2:B2"/>
    <mergeCell ref="A15:A29"/>
    <mergeCell ref="A50:A62"/>
    <mergeCell ref="A5:B5"/>
    <mergeCell ref="A38:A49"/>
    <mergeCell ref="A86:A88"/>
    <mergeCell ref="A11:A14"/>
    <mergeCell ref="A91:A92"/>
    <mergeCell ref="A1:B1"/>
    <mergeCell ref="A95:A98"/>
    <mergeCell ref="A3:B3"/>
    <mergeCell ref="A80:A85"/>
    <mergeCell ref="A6:A10"/>
  </mergeCells>
  <pageMargins left="0.7" right="0.7" top="0.75" bottom="0.75" header="0.511811023622047" footer="0.511811023622047"/>
  <pageSetup orientation="portrait" paperSize="8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A1" sqref="A1"/>
    </sheetView>
  </sheetViews>
  <sheetFormatPr baseColWidth="8" defaultColWidth="8.5" defaultRowHeight="17.4"/>
  <cols>
    <col width="5" customWidth="1" style="82" min="1" max="1"/>
    <col width="110" customWidth="1" style="82" min="2" max="2"/>
  </cols>
  <sheetData>
    <row r="1" ht="20.1" customHeight="1" s="82">
      <c r="A1" s="83" t="inlineStr">
        <is>
          <t>바름 보장분석 법칙 v2 — 이 표본에 내장 (2026.06.09)</t>
        </is>
      </c>
    </row>
    <row r="3" ht="17.1" customHeight="1" s="82">
      <c r="A3" s="0" t="inlineStr">
        <is>
          <t>1</t>
        </is>
      </c>
      <c r="B3" s="84" t="inlineStr">
        <is>
          <t>폼 무변형: 이 표본을 열어 값만 채운다. 새 워크북·행삭제·카테고리축소 금지. 추가만(그룹 안 행삽입), 표 밖 금지.</t>
        </is>
      </c>
    </row>
    <row r="4" ht="17.1" customHeight="1" s="82">
      <c r="A4" s="0" t="inlineStr">
        <is>
          <t>2</t>
        </is>
      </c>
      <c r="B4" s="84" t="inlineStr">
        <is>
          <t>새 고객 입력 시 이전 고객 값 전부 zero화(이 표본에서 새로 시작).</t>
        </is>
      </c>
    </row>
    <row r="5" ht="17.1" customHeight="1" s="82">
      <c r="A5" s="0" t="inlineStr">
        <is>
          <t>3</t>
        </is>
      </c>
      <c r="B5" s="84" t="inlineStr">
        <is>
          <t>열=계약(최대 50). 행=담보(15구분·82행). 끝열=합계.</t>
        </is>
      </c>
    </row>
    <row r="6" ht="17.1" customHeight="1" s="82">
      <c r="A6" s="0" t="inlineStr">
        <is>
          <t>4</t>
        </is>
      </c>
      <c r="B6" s="84" t="inlineStr">
        <is>
          <t>합계 = 세로(계약별) SUM. 4페이지 한장보장 값을 합계칸 직박음 금지(눈속임). 계약별 칸을 채워야 합계가 산다.</t>
        </is>
      </c>
    </row>
    <row r="7" ht="17.1" customHeight="1" s="82">
      <c r="A7" s="0" t="inlineStr">
        <is>
          <t>5</t>
        </is>
      </c>
      <c r="B7" s="84" t="inlineStr">
        <is>
          <t>계약별 대조 필수: A담보가 B회사 칸으로 가면 안 됨.</t>
        </is>
      </c>
    </row>
    <row r="8" ht="17.1" customHeight="1" s="82">
      <c r="A8" s="0" t="inlineStr">
        <is>
          <t>6</t>
        </is>
      </c>
      <c r="B8" s="85" t="inlineStr">
        <is>
          <t>1~5종 수술비 = 질병/상해 각 1행, 슬래시 가로표기 "20/50/100/500/1000", 합계도 종별.</t>
        </is>
      </c>
    </row>
    <row r="9" ht="17.1" customHeight="1" s="82">
      <c r="A9" s="0" t="inlineStr">
        <is>
          <t>7</t>
        </is>
      </c>
      <c r="B9" s="84" t="inlineStr">
        <is>
          <t>갱신/비갱신: ①갱신형명시→갱신 ②운전자→비갱신 ③9999→비갱신 ④총회차240초과→비갱신 ⑤납입년수≠보장년수→비갱신.</t>
        </is>
      </c>
    </row>
    <row r="10" ht="17.1" customHeight="1" s="82">
      <c r="A10" s="0" t="inlineStr">
        <is>
          <t>8</t>
        </is>
      </c>
      <c r="B10" s="84" t="inlineStr">
        <is>
          <t>색: 갱신=파랑 / 비갱신=검정 / 미가입=빨강. 구분셀=연두. 헤더 갱신블루·비갱신레드·완납진녹.</t>
        </is>
      </c>
    </row>
    <row r="11" ht="17.1" customHeight="1" s="82">
      <c r="A11" s="0" t="inlineStr">
        <is>
          <t>9</t>
        </is>
      </c>
      <c r="B11" s="84" t="inlineStr">
        <is>
          <t>심장=담보명 직행(허혈성→허혈성칸, 전파금지). 불확정은 기재+[확인].</t>
        </is>
      </c>
    </row>
    <row r="12" ht="17.1" customHeight="1" s="82">
      <c r="A12" s="0" t="inlineStr">
        <is>
          <t>10</t>
        </is>
      </c>
      <c r="B12" s="85" t="inlineStr">
        <is>
          <t>9999(생보)=종신 → 일반사망(종신)+상해사망. 손보 질병사망=80세칸.</t>
        </is>
      </c>
    </row>
    <row r="13" ht="17.1" customHeight="1" s="82">
      <c r="A13" s="0" t="inlineStr">
        <is>
          <t>11</t>
        </is>
      </c>
      <c r="B13" s="84" t="inlineStr">
        <is>
          <t>추측 금지: 모르면 빈칸+[확인]. 채우는 게 최악, 비우고 메모가 차선, 확정 기재가 최선. 자동천장 95%.</t>
        </is>
      </c>
    </row>
    <row r="14" ht="17.1" customHeight="1" s="82">
      <c r="A14" s="0" t="inlineStr">
        <is>
          <t>12</t>
        </is>
      </c>
      <c r="B14" s="84" t="inlineStr">
        <is>
          <t>엑셀=원천, PPT는 완성 엑셀만 읽음(PDF→엑셀→PPT). 제출 전 렌더검수 통과한 것만.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cols>
    <col width="34" customWidth="1" style="82" min="2" max="2"/>
    <col width="40" customWidth="1" style="82" min="4" max="4"/>
    <col width="12" customWidth="1" style="82" min="5" max="5"/>
  </cols>
  <sheetData>
    <row r="1">
      <c r="A1" t="inlineStr">
        <is>
          <t>조성래 · 자동분석 2026.07.03</t>
        </is>
      </c>
    </row>
    <row r="3">
      <c r="A3" t="inlineStr">
        <is>
          <t>계약수</t>
        </is>
      </c>
      <c r="B3" t="n">
        <v>19</v>
      </c>
    </row>
    <row r="4">
      <c r="A4" t="inlineStr">
        <is>
          <t>월보험료합계</t>
        </is>
      </c>
      <c r="B4" t="inlineStr">
        <is>
          <t>952,200원</t>
        </is>
      </c>
    </row>
    <row r="6">
      <c r="A6" t="inlineStr">
        <is>
          <t>[확인] 자동매핑 실패 담보 (마스터 미수록 또는 약관 확인 후 수기 기재)</t>
        </is>
      </c>
    </row>
    <row r="7">
      <c r="A7" t="inlineStr">
        <is>
          <t>회사</t>
        </is>
      </c>
      <c r="B7" t="inlineStr">
        <is>
          <t>담보명</t>
        </is>
      </c>
      <c r="C7" t="inlineStr">
        <is>
          <t>금액(만원)</t>
        </is>
      </c>
      <c r="D7" t="inlineStr">
        <is>
          <t>보장범위(참고)</t>
        </is>
      </c>
      <c r="E7" t="inlineStr">
        <is>
          <t>약관검색</t>
        </is>
      </c>
    </row>
    <row r="8">
      <c r="A8" t="inlineStr">
        <is>
          <t>우정사업본부</t>
        </is>
      </c>
      <c r="B8" t="inlineStr">
        <is>
          <t>장기요양보험금</t>
        </is>
      </c>
      <c r="C8" t="n">
        <v>3000</v>
      </c>
      <c r="D8" t="inlineStr"/>
      <c r="E8" s="205" t="inlineStr">
        <is>
          <t>🔗약관검색</t>
        </is>
      </c>
    </row>
    <row r="9">
      <c r="A9" t="inlineStr">
        <is>
          <t>우정사업본부</t>
        </is>
      </c>
      <c r="B9" t="inlineStr">
        <is>
          <t>교통재해재활치료자금</t>
        </is>
      </c>
      <c r="C9" t="n">
        <v>10000</v>
      </c>
      <c r="D9" t="inlineStr"/>
      <c r="E9" s="205" t="inlineStr">
        <is>
          <t>🔗약관검색</t>
        </is>
      </c>
    </row>
    <row r="10">
      <c r="A10" t="inlineStr">
        <is>
          <t>우정사업본부</t>
        </is>
      </c>
      <c r="B10" t="inlineStr">
        <is>
          <t>골절치료자금</t>
        </is>
      </c>
      <c r="C10" t="n">
        <v>30</v>
      </c>
      <c r="D10" t="inlineStr"/>
      <c r="E10" s="205" t="inlineStr">
        <is>
          <t>🔗약관검색</t>
        </is>
      </c>
    </row>
    <row r="11">
      <c r="A11" t="inlineStr">
        <is>
          <t>우정사업본부</t>
        </is>
      </c>
      <c r="B11" t="inlineStr">
        <is>
          <t>외모수술자금</t>
        </is>
      </c>
      <c r="C11" t="n">
        <v>50</v>
      </c>
      <c r="D11" t="inlineStr"/>
      <c r="E11" s="205" t="inlineStr">
        <is>
          <t>🔗약관검색</t>
        </is>
      </c>
    </row>
    <row r="12">
      <c r="A12" t="inlineStr">
        <is>
          <t>우정사업본부</t>
        </is>
      </c>
      <c r="B12" t="inlineStr">
        <is>
          <t>재해입원</t>
        </is>
      </c>
      <c r="C12" t="n">
        <v>2</v>
      </c>
      <c r="D12" t="inlineStr"/>
      <c r="E12" s="205" t="inlineStr">
        <is>
          <t>🔗약관검색</t>
        </is>
      </c>
    </row>
    <row r="13">
      <c r="A13" t="inlineStr">
        <is>
          <t>메리츠화재</t>
        </is>
      </c>
      <c r="B13" t="inlineStr">
        <is>
          <t>갱신형 간경변증진단비</t>
        </is>
      </c>
      <c r="C13" t="n">
        <v>500</v>
      </c>
      <c r="D13" t="inlineStr"/>
      <c r="E13" s="205" t="inlineStr">
        <is>
          <t>🔗약관검색</t>
        </is>
      </c>
    </row>
    <row r="14">
      <c r="A14" t="inlineStr">
        <is>
          <t>메리츠화재</t>
        </is>
      </c>
      <c r="B14" t="inlineStr">
        <is>
          <t>갱신형 간농양진단비</t>
        </is>
      </c>
      <c r="C14" t="n">
        <v>200</v>
      </c>
      <c r="D14" t="inlineStr"/>
      <c r="E14" s="205" t="inlineStr">
        <is>
          <t>🔗약관검색</t>
        </is>
      </c>
    </row>
    <row r="15">
      <c r="A15" t="inlineStr">
        <is>
          <t>메리츠화재</t>
        </is>
      </c>
      <c r="B15" t="inlineStr">
        <is>
          <t>갱신형 지방간대상질병관리지원비(간효소수치80IU/L 이상)</t>
        </is>
      </c>
      <c r="C15" t="n">
        <v>20</v>
      </c>
      <c r="D15" t="inlineStr"/>
      <c r="E15" s="205" t="inlineStr">
        <is>
          <t>🔗약관검색</t>
        </is>
      </c>
    </row>
    <row r="16">
      <c r="A16" t="inlineStr">
        <is>
          <t>메리츠화재</t>
        </is>
      </c>
      <c r="B16" t="inlineStr">
        <is>
          <t>갱신형 크론병및궤양성대장염진단비</t>
        </is>
      </c>
      <c r="C16" t="n">
        <v>1000</v>
      </c>
      <c r="D16" t="inlineStr"/>
      <c r="E16" s="205" t="inlineStr">
        <is>
          <t>🔗약관검색</t>
        </is>
      </c>
    </row>
    <row r="17">
      <c r="A17" t="inlineStr">
        <is>
          <t>메리츠화재</t>
        </is>
      </c>
      <c r="B17" t="inlineStr">
        <is>
          <t>갱신형 통풍진단비</t>
        </is>
      </c>
      <c r="C17" t="n">
        <v>200</v>
      </c>
      <c r="D17" t="inlineStr"/>
      <c r="E17" s="205" t="inlineStr">
        <is>
          <t>🔗약관검색</t>
        </is>
      </c>
    </row>
    <row r="18">
      <c r="A18" t="inlineStr">
        <is>
          <t>메리츠화재</t>
        </is>
      </c>
      <c r="B18" t="inlineStr">
        <is>
          <t>갱신형 대장용종제거수술비(급여,용종 개수당)</t>
        </is>
      </c>
      <c r="C18" t="n">
        <v>5</v>
      </c>
      <c r="D18" t="inlineStr"/>
      <c r="E18" s="205" t="inlineStr">
        <is>
          <t>🔗약관검색</t>
        </is>
      </c>
    </row>
    <row r="19">
      <c r="A19" t="inlineStr">
        <is>
          <t>메리츠화재</t>
        </is>
      </c>
      <c r="B19" t="inlineStr">
        <is>
          <t>갱신형 역행성담췌관내시경수술비(급여,연간1회한)</t>
        </is>
      </c>
      <c r="C19" t="n">
        <v>50</v>
      </c>
      <c r="D19" t="inlineStr"/>
      <c r="E19" s="205" t="inlineStr">
        <is>
          <t>🔗약관검색</t>
        </is>
      </c>
    </row>
    <row r="20">
      <c r="A20" t="inlineStr">
        <is>
          <t>메리츠화재</t>
        </is>
      </c>
      <c r="B20" t="inlineStr">
        <is>
          <t>갱신형 급성간염(A,B,C형)진단비</t>
        </is>
      </c>
      <c r="C20" t="n">
        <v>100</v>
      </c>
      <c r="D20" t="inlineStr"/>
      <c r="E20" s="205" t="inlineStr">
        <is>
          <t>🔗약관검색</t>
        </is>
      </c>
    </row>
    <row r="21">
      <c r="A21" t="inlineStr">
        <is>
          <t>메리츠화재</t>
        </is>
      </c>
      <c r="B21" t="inlineStr">
        <is>
          <t>갱신형 특정4대소화계질환(충수 복막 기타장질환)진단비</t>
        </is>
      </c>
      <c r="C21" t="n">
        <v>100</v>
      </c>
      <c r="D21" t="inlineStr"/>
      <c r="E21" s="205" t="inlineStr">
        <is>
          <t>🔗약관검색</t>
        </is>
      </c>
    </row>
    <row r="22">
      <c r="A22" t="inlineStr">
        <is>
          <t>메리츠화재</t>
        </is>
      </c>
      <c r="B22" t="inlineStr">
        <is>
          <t>갱신형 급성췌장염진단비</t>
        </is>
      </c>
      <c r="C22" t="n">
        <v>100</v>
      </c>
      <c r="D22" t="inlineStr"/>
      <c r="E22" s="205" t="inlineStr">
        <is>
          <t>🔗약관검색</t>
        </is>
      </c>
    </row>
    <row r="23">
      <c r="A23" t="inlineStr">
        <is>
          <t>메리츠화재</t>
        </is>
      </c>
      <c r="B23" t="inlineStr">
        <is>
          <t>갱신형 대상포진진단비</t>
        </is>
      </c>
      <c r="C23" t="n">
        <v>200</v>
      </c>
      <c r="D23" t="inlineStr"/>
      <c r="E23" s="205" t="inlineStr">
        <is>
          <t>🔗약관검색</t>
        </is>
      </c>
    </row>
    <row r="24">
      <c r="A24" t="inlineStr">
        <is>
          <t>메리츠화재</t>
        </is>
      </c>
      <c r="B24" t="inlineStr">
        <is>
          <t>갱신형 말기간경화진단비</t>
        </is>
      </c>
      <c r="C24" t="n">
        <v>1000</v>
      </c>
      <c r="D24" t="inlineStr"/>
      <c r="E24" s="205" t="inlineStr">
        <is>
          <t>🔗약관검색</t>
        </is>
      </c>
    </row>
    <row r="25">
      <c r="A25" t="inlineStr">
        <is>
          <t>메리츠화재</t>
        </is>
      </c>
      <c r="B25" t="inlineStr">
        <is>
          <t>갱신형 요로결석진단비</t>
        </is>
      </c>
      <c r="C25" t="n">
        <v>100</v>
      </c>
      <c r="D25" t="inlineStr"/>
      <c r="E25" s="205" t="inlineStr">
        <is>
          <t>🔗약관검색</t>
        </is>
      </c>
    </row>
    <row r="26">
      <c r="A26" t="inlineStr">
        <is>
          <t>메리츠화재</t>
        </is>
      </c>
      <c r="B26" t="inlineStr">
        <is>
          <t>갱신형 위 십이지장 소화계통 양성종양및특정폴립진단비</t>
        </is>
      </c>
      <c r="C26" t="n">
        <v>30</v>
      </c>
      <c r="D26" t="inlineStr"/>
      <c r="E26" s="205" t="inlineStr">
        <is>
          <t>🔗약관검색</t>
        </is>
      </c>
    </row>
    <row r="27">
      <c r="A27" t="inlineStr">
        <is>
          <t>메리츠화재</t>
        </is>
      </c>
      <c r="B27" t="inlineStr">
        <is>
          <t>갱신형 지방간대상질병관리지원비(간효소수치200IU/L 이상)</t>
        </is>
      </c>
      <c r="C27" t="n">
        <v>30</v>
      </c>
      <c r="D27" t="inlineStr"/>
      <c r="E27" s="205" t="inlineStr">
        <is>
          <t>🔗약관검색</t>
        </is>
      </c>
    </row>
    <row r="28">
      <c r="A28" t="inlineStr">
        <is>
          <t>메리츠화재</t>
        </is>
      </c>
      <c r="B28" t="inlineStr">
        <is>
          <t>갱신형 특정6대소화계질환(궤양,게실염)진단비</t>
        </is>
      </c>
      <c r="C28" t="n">
        <v>100</v>
      </c>
      <c r="D28" t="inlineStr"/>
      <c r="E28" s="205" t="inlineStr">
        <is>
          <t>🔗약관검색</t>
        </is>
      </c>
    </row>
    <row r="29">
      <c r="A29" t="inlineStr">
        <is>
          <t>메리츠화재</t>
        </is>
      </c>
      <c r="B29" t="inlineStr">
        <is>
          <t>갱신형 특정담낭 담관염진단비</t>
        </is>
      </c>
      <c r="C29" t="n">
        <v>200</v>
      </c>
      <c r="D29" t="inlineStr"/>
      <c r="E29" s="205" t="inlineStr">
        <is>
          <t>🔗약관검색</t>
        </is>
      </c>
    </row>
    <row r="30">
      <c r="A30" t="inlineStr">
        <is>
          <t>메리츠화재</t>
        </is>
      </c>
      <c r="B30" t="inlineStr">
        <is>
          <t>갱신형 특정천공진단비</t>
        </is>
      </c>
      <c r="C30" t="n">
        <v>300</v>
      </c>
      <c r="D30" t="inlineStr"/>
      <c r="E30" s="205" t="inlineStr">
        <is>
          <t>🔗약관검색</t>
        </is>
      </c>
    </row>
    <row r="31">
      <c r="A31" t="inlineStr">
        <is>
          <t>메리츠화재</t>
        </is>
      </c>
      <c r="B31" t="inlineStr">
        <is>
          <t>갱신형 특정패혈증진단비</t>
        </is>
      </c>
      <c r="C31" t="n">
        <v>500</v>
      </c>
      <c r="D31" t="inlineStr"/>
      <c r="E31" s="205" t="inlineStr">
        <is>
          <t>🔗약관검색</t>
        </is>
      </c>
    </row>
    <row r="32">
      <c r="A32" t="inlineStr">
        <is>
          <t>메리츠화재</t>
        </is>
      </c>
      <c r="B32" t="inlineStr">
        <is>
          <t>갱신형 간질환입원일당(1일이상)</t>
        </is>
      </c>
      <c r="C32" t="n">
        <v>2</v>
      </c>
      <c r="D32" t="inlineStr"/>
      <c r="E32" s="205" t="inlineStr">
        <is>
          <t>🔗약관검색</t>
        </is>
      </c>
    </row>
    <row r="33">
      <c r="A33" t="inlineStr">
        <is>
          <t>메리츠화재</t>
        </is>
      </c>
      <c r="B33" t="inlineStr">
        <is>
          <t>갱신형 경피적담도 담관(낭)치료비(급여,연간1회한)</t>
        </is>
      </c>
      <c r="C33" t="n">
        <v>50</v>
      </c>
      <c r="D33" t="inlineStr"/>
      <c r="E33" s="205" t="inlineStr">
        <is>
          <t>🔗약관검색</t>
        </is>
      </c>
    </row>
    <row r="34">
      <c r="A34" t="inlineStr">
        <is>
          <t>메리츠화재</t>
        </is>
      </c>
      <c r="B34" t="inlineStr">
        <is>
          <t>갱신형특정소화장기(간,담도담낭,췌장)절제수술비(급여,연간1회한)</t>
        </is>
      </c>
      <c r="C34" t="n">
        <v>100</v>
      </c>
      <c r="D34" t="inlineStr"/>
      <c r="E34" s="205" t="inlineStr">
        <is>
          <t>🔗약관검색</t>
        </is>
      </c>
    </row>
    <row r="35">
      <c r="A35" t="inlineStr">
        <is>
          <t>메리츠화재</t>
        </is>
      </c>
      <c r="B35" t="inlineStr">
        <is>
          <t>갱신형 암직접치료통원일당(상급종합병원)</t>
        </is>
      </c>
      <c r="C35" t="n">
        <v>5</v>
      </c>
      <c r="D35" t="inlineStr"/>
      <c r="E35" s="205" t="inlineStr">
        <is>
          <t>🔗약관검색</t>
        </is>
      </c>
    </row>
    <row r="36">
      <c r="A36" t="inlineStr">
        <is>
          <t>메리츠화재</t>
        </is>
      </c>
      <c r="B36" t="inlineStr">
        <is>
          <t>희귀난치성7대질환진단비(통합간편가입)</t>
        </is>
      </c>
      <c r="C36" t="n">
        <v>200</v>
      </c>
      <c r="D36" t="inlineStr"/>
      <c r="E36" s="205" t="inlineStr">
        <is>
          <t>🔗약관검색</t>
        </is>
      </c>
    </row>
    <row r="37">
      <c r="A37" t="inlineStr">
        <is>
          <t>메리츠화재</t>
        </is>
      </c>
      <c r="B37" t="inlineStr">
        <is>
          <t>충수염수술비(통합간편가입)</t>
        </is>
      </c>
      <c r="C37" t="n">
        <v>30</v>
      </c>
      <c r="D37" t="inlineStr"/>
      <c r="E37" s="205" t="inlineStr">
        <is>
          <t>🔗약관검색</t>
        </is>
      </c>
    </row>
    <row r="38">
      <c r="A38" t="inlineStr">
        <is>
          <t>한화손보</t>
        </is>
      </c>
      <c r="B38" t="inlineStr">
        <is>
          <t>특정유사암진단후특정치료비(진단후5년,연간1회한)(갱신형)</t>
        </is>
      </c>
      <c r="C38" t="n">
        <v>200</v>
      </c>
      <c r="D38" t="inlineStr"/>
      <c r="E38" s="205" t="inlineStr">
        <is>
          <t>🔗약관검색</t>
        </is>
      </c>
    </row>
    <row r="39">
      <c r="A39" t="inlineStr">
        <is>
          <t>한화손보</t>
        </is>
      </c>
      <c r="B39" t="inlineStr">
        <is>
          <t>암(특정유사암포함)진단후종합병원특정치료지원금(연간9천만원이상,진단</t>
        </is>
      </c>
      <c r="C39" t="n">
        <v>1000</v>
      </c>
      <c r="D39" t="inlineStr"/>
      <c r="E39" s="205" t="inlineStr">
        <is>
          <t>🔗약관검색</t>
        </is>
      </c>
    </row>
    <row r="40">
      <c r="A40" t="inlineStr">
        <is>
          <t>한화손보</t>
        </is>
      </c>
      <c r="B40" t="inlineStr">
        <is>
          <t>암(특정유사암포함)진단후종합병원특정치료지원금(연간1억원이상,진단후5</t>
        </is>
      </c>
      <c r="C40" t="n">
        <v>1000</v>
      </c>
      <c r="D40" t="inlineStr"/>
      <c r="E40" s="205" t="inlineStr">
        <is>
          <t>🔗약관검색</t>
        </is>
      </c>
    </row>
    <row r="41">
      <c r="A41" t="inlineStr">
        <is>
          <t>한화손보</t>
        </is>
      </c>
      <c r="B41" t="inlineStr">
        <is>
          <t>암(4대유사암제외)진단후특정치료비(진단후5년,연간1회한)(갱신형)</t>
        </is>
      </c>
      <c r="C41" t="n">
        <v>1000</v>
      </c>
      <c r="D41" t="inlineStr"/>
      <c r="E41" s="205" t="inlineStr">
        <is>
          <t>🔗약관검색</t>
        </is>
      </c>
    </row>
    <row r="42">
      <c r="A42" t="inlineStr">
        <is>
          <t>한화손보</t>
        </is>
      </c>
      <c r="B42" t="inlineStr">
        <is>
          <t>암(특정유사암포함)진단후종합병원특정치료지원금(연간1천만원이상,진단</t>
        </is>
      </c>
      <c r="C42" t="n">
        <v>1000</v>
      </c>
      <c r="D42" t="inlineStr"/>
      <c r="E42" s="205" t="inlineStr">
        <is>
          <t>🔗약관검색</t>
        </is>
      </c>
    </row>
    <row r="43">
      <c r="A43" t="inlineStr">
        <is>
          <t>한화손보</t>
        </is>
      </c>
      <c r="B43" t="inlineStr">
        <is>
          <t>암(특정유사암포함)진단후종합병원특정치료지원금(연간2천만원이상,진단</t>
        </is>
      </c>
      <c r="C43" t="n">
        <v>1000</v>
      </c>
      <c r="D43" t="inlineStr"/>
      <c r="E43" s="205" t="inlineStr">
        <is>
          <t>🔗약관검색</t>
        </is>
      </c>
    </row>
    <row r="44">
      <c r="A44" t="inlineStr">
        <is>
          <t>한화손보</t>
        </is>
      </c>
      <c r="B44" t="inlineStr">
        <is>
          <t>암(특정유사암포함)진단후종합병원특정치료지원금(연간3천만원이상,진단</t>
        </is>
      </c>
      <c r="C44" t="n">
        <v>1000</v>
      </c>
      <c r="D44" t="inlineStr"/>
      <c r="E44" s="205" t="inlineStr">
        <is>
          <t>🔗약관검색</t>
        </is>
      </c>
    </row>
    <row r="45">
      <c r="A45" t="inlineStr">
        <is>
          <t>한화손보</t>
        </is>
      </c>
      <c r="B45" t="inlineStr">
        <is>
          <t>암(특정유사암포함)진단후종합병원특정치료지원금(연간4천만원이상,진단</t>
        </is>
      </c>
      <c r="C45" t="n">
        <v>1000</v>
      </c>
      <c r="D45" t="inlineStr"/>
      <c r="E45" s="205" t="inlineStr">
        <is>
          <t>🔗약관검색</t>
        </is>
      </c>
    </row>
    <row r="46">
      <c r="A46" t="inlineStr">
        <is>
          <t>한화손보</t>
        </is>
      </c>
      <c r="B46" t="inlineStr">
        <is>
          <t>암(특정유사암포함)진단후종합병원특정치료지원금(연간5천만원이상,진단</t>
        </is>
      </c>
      <c r="C46" t="n">
        <v>1000</v>
      </c>
      <c r="D46" t="inlineStr"/>
      <c r="E46" s="205" t="inlineStr">
        <is>
          <t>🔗약관검색</t>
        </is>
      </c>
    </row>
    <row r="47">
      <c r="A47" t="inlineStr">
        <is>
          <t>한화손보</t>
        </is>
      </c>
      <c r="B47" t="inlineStr">
        <is>
          <t>암(특정유사암포함)진단후종합병원특정치료지원금(연간6천만원이상,진단</t>
        </is>
      </c>
      <c r="C47" t="n">
        <v>1000</v>
      </c>
      <c r="D47" t="inlineStr"/>
      <c r="E47" s="205" t="inlineStr">
        <is>
          <t>🔗약관검색</t>
        </is>
      </c>
    </row>
    <row r="48">
      <c r="A48" t="inlineStr">
        <is>
          <t>한화손보</t>
        </is>
      </c>
      <c r="B48" t="inlineStr">
        <is>
          <t>암(특정유사암포함)진단후종합병원특정치료지원금(연간7천만원이상,진단</t>
        </is>
      </c>
      <c r="C48" t="n">
        <v>1000</v>
      </c>
      <c r="D48" t="inlineStr"/>
      <c r="E48" s="205" t="inlineStr">
        <is>
          <t>🔗약관검색</t>
        </is>
      </c>
    </row>
    <row r="49">
      <c r="A49" t="inlineStr">
        <is>
          <t>한화손보</t>
        </is>
      </c>
      <c r="B49" t="inlineStr">
        <is>
          <t>암(특정유사암포함)진단후종합병원특정치료지원금(연간8천만원이상,진단</t>
        </is>
      </c>
      <c r="C49" t="n">
        <v>1000</v>
      </c>
      <c r="D49" t="inlineStr"/>
      <c r="E49" s="205" t="inlineStr">
        <is>
          <t>🔗약관검색</t>
        </is>
      </c>
    </row>
    <row r="50">
      <c r="A50" t="inlineStr">
        <is>
          <t>한화손보</t>
        </is>
      </c>
      <c r="B50" t="inlineStr">
        <is>
          <t>보험료납입면제대상보장(5대사유)(3N5간편,갱신형)</t>
        </is>
      </c>
      <c r="C50" t="n">
        <v>10</v>
      </c>
      <c r="D50" t="inlineStr"/>
      <c r="E50" s="205" t="inlineStr">
        <is>
          <t>🔗약관검색</t>
        </is>
      </c>
    </row>
    <row r="51">
      <c r="A51" t="inlineStr">
        <is>
          <t>삼성화재</t>
        </is>
      </c>
      <c r="B51" t="inlineStr">
        <is>
          <t>[간편]혈전제거 치료비(급여)(1년50%)</t>
        </is>
      </c>
      <c r="C51" t="n">
        <v>100</v>
      </c>
      <c r="D51" t="inlineStr"/>
      <c r="E51" s="205" t="inlineStr">
        <is>
          <t>🔗약관검색</t>
        </is>
      </c>
    </row>
    <row r="52">
      <c r="A52" t="inlineStr">
        <is>
          <t>삼성화재</t>
        </is>
      </c>
      <c r="B52" t="inlineStr">
        <is>
          <t>[간편]종합병원 2~3인실 입원일당(1일이상,30일한도)(1년50%)</t>
        </is>
      </c>
      <c r="C52" t="n">
        <v>200</v>
      </c>
      <c r="D52" t="inlineStr"/>
      <c r="E52" s="205" t="inlineStr">
        <is>
          <t>🔗약관검색</t>
        </is>
      </c>
    </row>
    <row r="53">
      <c r="A53" t="inlineStr">
        <is>
          <t>삼성화재</t>
        </is>
      </c>
      <c r="B53" t="inlineStr">
        <is>
          <t>[간편]상급종합병원 2~3인실 입원일당(1일이상,30일한도)(1년50%)</t>
        </is>
      </c>
      <c r="C53" t="n">
        <v>100</v>
      </c>
      <c r="D53" t="inlineStr"/>
      <c r="E53" s="205" t="inlineStr">
        <is>
          <t>🔗약관검색</t>
        </is>
      </c>
    </row>
    <row r="54">
      <c r="A54" t="inlineStr">
        <is>
          <t>삼성화재</t>
        </is>
      </c>
      <c r="B54" t="inlineStr">
        <is>
          <t>[간편]2대주요기관질병 스텐트삽입술 및풍선혈관성형수술비(급여)(연간1회한)(1년50%)</t>
        </is>
      </c>
      <c r="C54" t="n">
        <v>0</v>
      </c>
      <c r="D54" t="inlineStr"/>
      <c r="E54" s="205" t="inlineStr">
        <is>
          <t>🔗약관검색</t>
        </is>
      </c>
    </row>
    <row r="55">
      <c r="A55" t="inlineStr">
        <is>
          <t>삼성화재</t>
        </is>
      </c>
      <c r="B55" t="inlineStr">
        <is>
          <t>[간편]항암방사선∬약물 치료비Ⅲ(기타피부암 및갑상선암)(1년50%)</t>
        </is>
      </c>
      <c r="C55" t="n">
        <v>0</v>
      </c>
      <c r="D55" t="inlineStr"/>
      <c r="E55" s="205" t="inlineStr">
        <is>
          <t>🔗약관검색</t>
        </is>
      </c>
    </row>
    <row r="56">
      <c r="A56" t="inlineStr">
        <is>
          <t>KB손보</t>
        </is>
      </c>
      <c r="B56" t="inlineStr">
        <is>
          <t>치아파절진단비(연간3회한)(10년갱신형)</t>
        </is>
      </c>
      <c r="C56" t="n">
        <v>20</v>
      </c>
      <c r="D56" t="inlineStr"/>
      <c r="E56" s="205" t="inlineStr">
        <is>
          <t>🔗약관검색</t>
        </is>
      </c>
    </row>
    <row r="57">
      <c r="A57" t="inlineStr">
        <is>
          <t>KB손보</t>
        </is>
      </c>
      <c r="B57" t="inlineStr">
        <is>
          <t>중대한심혈관수술비(최초1회한)(10년갱신형)</t>
        </is>
      </c>
      <c r="C57" t="n">
        <v>1000</v>
      </c>
      <c r="D57" t="inlineStr"/>
      <c r="E57" s="205" t="inlineStr">
        <is>
          <t>🔗약관검색</t>
        </is>
      </c>
    </row>
    <row r="58">
      <c r="A58" t="inlineStr">
        <is>
          <t>KB손보</t>
        </is>
      </c>
      <c r="B58" t="inlineStr">
        <is>
          <t>충수염(맹장염)수술비(10년갱신형)</t>
        </is>
      </c>
      <c r="C58" t="n">
        <v>30</v>
      </c>
      <c r="D58" t="inlineStr"/>
      <c r="E58" s="205" t="inlineStr">
        <is>
          <t>🔗약관검색</t>
        </is>
      </c>
    </row>
    <row r="59">
      <c r="A59" t="inlineStr">
        <is>
          <t>KB손보</t>
        </is>
      </c>
      <c r="B59" t="inlineStr">
        <is>
          <t>뇌혈관질환입원일당(1일이상180일한도)(10년갱신형)</t>
        </is>
      </c>
      <c r="C59" t="n">
        <v>3</v>
      </c>
      <c r="D59" t="inlineStr"/>
      <c r="E59" s="205" t="inlineStr">
        <is>
          <t>🔗약관검색</t>
        </is>
      </c>
    </row>
    <row r="60">
      <c r="A60" t="inlineStr">
        <is>
          <t>KB손보</t>
        </is>
      </c>
      <c r="B60" t="inlineStr">
        <is>
          <t>허혈성심장질환입원일당(1일이상180일한도)(10년갱신형)</t>
        </is>
      </c>
      <c r="C60" t="n">
        <v>3</v>
      </c>
      <c r="D60" t="inlineStr"/>
      <c r="E60" s="205" t="inlineStr">
        <is>
          <t>🔗약관검색</t>
        </is>
      </c>
    </row>
    <row r="61">
      <c r="A61" t="inlineStr">
        <is>
          <t>KB손보</t>
        </is>
      </c>
      <c r="B61" t="inlineStr">
        <is>
          <t>암직접치료통원일당(10년갱신형)</t>
        </is>
      </c>
      <c r="C61" t="n">
        <v>1</v>
      </c>
      <c r="D61" t="inlineStr"/>
      <c r="E61" s="205" t="inlineStr">
        <is>
          <t>🔗약관검색</t>
        </is>
      </c>
    </row>
    <row r="62">
      <c r="A62" t="inlineStr">
        <is>
          <t>KB손보</t>
        </is>
      </c>
      <c r="B62" t="inlineStr">
        <is>
          <t>암직접치료통원일당(상급종합병원)(10년갱신형)</t>
        </is>
      </c>
      <c r="C62" t="n">
        <v>5</v>
      </c>
      <c r="D62" t="inlineStr"/>
      <c r="E62" s="205" t="inlineStr">
        <is>
          <t>🔗약관검색</t>
        </is>
      </c>
    </row>
    <row r="63">
      <c r="A63" t="inlineStr">
        <is>
          <t>DB손보</t>
        </is>
      </c>
      <c r="B63" t="inlineStr">
        <is>
          <t>심장질환(특정Ⅲ)진단비</t>
        </is>
      </c>
      <c r="C63" t="n">
        <v>500</v>
      </c>
      <c r="D63" t="inlineStr"/>
      <c r="E63" s="205" t="inlineStr">
        <is>
          <t>🔗약관검색</t>
        </is>
      </c>
    </row>
    <row r="64">
      <c r="A64" t="inlineStr">
        <is>
          <t>DB손보</t>
        </is>
      </c>
      <c r="B64" t="inlineStr">
        <is>
          <t>4대안과진단비(안구특정상해)</t>
        </is>
      </c>
      <c r="C64" t="n">
        <v>50</v>
      </c>
      <c r="D64" t="inlineStr"/>
      <c r="E64" s="205" t="inlineStr">
        <is>
          <t>🔗약관검색</t>
        </is>
      </c>
    </row>
    <row r="65">
      <c r="A65" t="inlineStr">
        <is>
          <t>DB손보</t>
        </is>
      </c>
      <c r="B65" t="inlineStr">
        <is>
          <t>4대안과진단비(질병시력저하및실명)</t>
        </is>
      </c>
      <c r="C65" t="n">
        <v>500</v>
      </c>
      <c r="D65" t="inlineStr"/>
      <c r="E65" s="205" t="inlineStr">
        <is>
          <t>🔗약관검색</t>
        </is>
      </c>
    </row>
    <row r="66">
      <c r="A66" t="inlineStr">
        <is>
          <t>DB손보</t>
        </is>
      </c>
      <c r="B66" t="inlineStr">
        <is>
          <t>4대안과진단비(특정눈염증)</t>
        </is>
      </c>
      <c r="C66" t="n">
        <v>10</v>
      </c>
      <c r="D66" t="inlineStr"/>
      <c r="E66" s="205" t="inlineStr">
        <is>
          <t>🔗약관검색</t>
        </is>
      </c>
    </row>
    <row r="67">
      <c r="A67" t="inlineStr">
        <is>
          <t>DB손보</t>
        </is>
      </c>
      <c r="B67" t="inlineStr">
        <is>
          <t>4대안과진단비(특정백내장및수정체질환)</t>
        </is>
      </c>
      <c r="C67" t="n">
        <v>10</v>
      </c>
      <c r="D67" t="inlineStr"/>
      <c r="E67" s="205" t="inlineStr">
        <is>
          <t>🔗약관검색</t>
        </is>
      </c>
    </row>
    <row r="68">
      <c r="A68" t="inlineStr">
        <is>
          <t>DB손보</t>
        </is>
      </c>
      <c r="B68" t="inlineStr">
        <is>
          <t>디스크질환(추간판탈출증)수술비</t>
        </is>
      </c>
      <c r="C68" t="n">
        <v>30</v>
      </c>
      <c r="D68" t="inlineStr"/>
      <c r="E68" s="205" t="inlineStr">
        <is>
          <t>🔗약관검색</t>
        </is>
      </c>
    </row>
    <row r="69">
      <c r="A69" t="inlineStr">
        <is>
          <t>DB손보</t>
        </is>
      </c>
      <c r="B69" t="inlineStr">
        <is>
          <t>각막이식수술비</t>
        </is>
      </c>
      <c r="C69" t="n">
        <v>2000</v>
      </c>
      <c r="D69" t="inlineStr"/>
      <c r="E69" s="205" t="inlineStr">
        <is>
          <t>🔗약관검색</t>
        </is>
      </c>
    </row>
    <row r="70">
      <c r="A70" t="inlineStr">
        <is>
          <t>DB손보</t>
        </is>
      </c>
      <c r="B70" t="inlineStr">
        <is>
          <t>질병으로인한3대시각질환수술비</t>
        </is>
      </c>
      <c r="C70" t="n">
        <v>40</v>
      </c>
      <c r="D70" t="inlineStr"/>
      <c r="E70" s="205" t="inlineStr">
        <is>
          <t>🔗약관검색</t>
        </is>
      </c>
    </row>
    <row r="71">
      <c r="A71" t="inlineStr">
        <is>
          <t>DB손보</t>
        </is>
      </c>
      <c r="B71" t="inlineStr">
        <is>
          <t>보험료납입면제대상보장(8대사유)</t>
        </is>
      </c>
      <c r="C71" t="n">
        <v>10</v>
      </c>
      <c r="D71" t="inlineStr"/>
      <c r="E71" s="205" t="inlineStr">
        <is>
          <t>🔗약관검색</t>
        </is>
      </c>
    </row>
    <row r="72">
      <c r="A72" t="inlineStr">
        <is>
          <t>DB손보</t>
        </is>
      </c>
      <c r="B72" t="inlineStr">
        <is>
          <t>보험료납입면제대상보장(10대사유)</t>
        </is>
      </c>
      <c r="C72" t="n">
        <v>10</v>
      </c>
      <c r="D72" t="inlineStr"/>
      <c r="E72" s="205" t="inlineStr">
        <is>
          <t>🔗약관검색</t>
        </is>
      </c>
    </row>
    <row r="73">
      <c r="A73" t="inlineStr">
        <is>
          <t>DB손보</t>
        </is>
      </c>
      <c r="B73" t="inlineStr">
        <is>
          <t>자동차부상치료비Ⅱ(1~7급)</t>
        </is>
      </c>
      <c r="C73" t="n">
        <v>400</v>
      </c>
      <c r="D73" t="inlineStr"/>
      <c r="E73" s="205" t="inlineStr">
        <is>
          <t>🔗약관검색</t>
        </is>
      </c>
    </row>
    <row r="74">
      <c r="A74" t="inlineStr">
        <is>
          <t>DB손보</t>
        </is>
      </c>
      <c r="B74" t="inlineStr">
        <is>
          <t>상해흉터복원수술비Ⅱ</t>
        </is>
      </c>
      <c r="C74" t="n">
        <v>15</v>
      </c>
      <c r="D74" t="inlineStr"/>
      <c r="E74" s="205" t="inlineStr">
        <is>
          <t>🔗약관검색</t>
        </is>
      </c>
    </row>
    <row r="75">
      <c r="A75" t="inlineStr">
        <is>
          <t>DB손보</t>
        </is>
      </c>
      <c r="B75" t="inlineStr">
        <is>
          <t>자동차사고성형수술비</t>
        </is>
      </c>
      <c r="C75" t="n">
        <v>200</v>
      </c>
      <c r="D75" t="inlineStr"/>
      <c r="E75" s="205" t="inlineStr">
        <is>
          <t>🔗약관검색</t>
        </is>
      </c>
    </row>
    <row r="76">
      <c r="A76" t="inlineStr">
        <is>
          <t>DB손보</t>
        </is>
      </c>
      <c r="B76" t="inlineStr">
        <is>
          <t>자동차사고입원일당(1-14급,1일이상180일한도)</t>
        </is>
      </c>
      <c r="C76" t="n">
        <v>7</v>
      </c>
      <c r="D76" t="inlineStr"/>
      <c r="E76" s="205" t="inlineStr">
        <is>
          <t>🔗약관검색</t>
        </is>
      </c>
    </row>
    <row r="77">
      <c r="A77" t="inlineStr">
        <is>
          <t>DB손보</t>
        </is>
      </c>
      <c r="B77" t="inlineStr">
        <is>
          <t>보복운전피해(인적물적)위로금</t>
        </is>
      </c>
      <c r="C77" t="n">
        <v>50</v>
      </c>
      <c r="D77" t="inlineStr"/>
      <c r="E77" s="205" t="inlineStr">
        <is>
          <t>🔗약관검색</t>
        </is>
      </c>
    </row>
    <row r="78">
      <c r="A78" t="inlineStr">
        <is>
          <t>DB손보</t>
        </is>
      </c>
      <c r="B78" t="inlineStr">
        <is>
          <t>보복운전피해위로금</t>
        </is>
      </c>
      <c r="C78" t="n">
        <v>100</v>
      </c>
      <c r="D78" t="inlineStr"/>
      <c r="E78" s="205" t="inlineStr">
        <is>
          <t>🔗약관검색</t>
        </is>
      </c>
    </row>
    <row r="79">
      <c r="A79" t="inlineStr">
        <is>
          <t>DB손보</t>
        </is>
      </c>
      <c r="B79" t="inlineStr">
        <is>
          <t>자동차사고치아보철지원금</t>
        </is>
      </c>
      <c r="C79" t="n">
        <v>50</v>
      </c>
      <c r="D79" t="inlineStr"/>
      <c r="E79" s="205" t="inlineStr">
        <is>
          <t>🔗약관검색</t>
        </is>
      </c>
    </row>
    <row r="80">
      <c r="A80" t="inlineStr">
        <is>
          <t>DB손보</t>
        </is>
      </c>
      <c r="B80" t="inlineStr">
        <is>
          <t>상해CT검사지원비(급여,연간1회한)</t>
        </is>
      </c>
      <c r="C80" t="n">
        <v>5</v>
      </c>
      <c r="D80" t="inlineStr"/>
      <c r="E80" s="205" t="inlineStr">
        <is>
          <t>🔗약관검색</t>
        </is>
      </c>
    </row>
    <row r="81">
      <c r="A81" t="inlineStr">
        <is>
          <t>DB손보</t>
        </is>
      </c>
      <c r="B81" t="inlineStr">
        <is>
          <t>외부충격으로인한뇌손상진단비</t>
        </is>
      </c>
      <c r="C81" t="n">
        <v>10</v>
      </c>
      <c r="D81" t="inlineStr"/>
      <c r="E81" s="205" t="inlineStr">
        <is>
          <t>🔗약관검색</t>
        </is>
      </c>
    </row>
    <row r="82">
      <c r="A82" t="inlineStr">
        <is>
          <t>DB손보</t>
        </is>
      </c>
      <c r="B82" t="inlineStr">
        <is>
          <t>자동차부상치료비Ⅱ(1~7급)</t>
        </is>
      </c>
      <c r="C82" t="n">
        <v>100</v>
      </c>
      <c r="D82" t="inlineStr"/>
      <c r="E82" s="205" t="inlineStr">
        <is>
          <t>🔗약관검색</t>
        </is>
      </c>
    </row>
    <row r="83">
      <c r="A83" t="inlineStr">
        <is>
          <t>DB손보</t>
        </is>
      </c>
      <c r="B83" t="inlineStr">
        <is>
          <t>뇌동맥류진단비Ⅱ(비파열성)(맞춤간편고지)(갱신형)</t>
        </is>
      </c>
      <c r="C83" t="n">
        <v>50</v>
      </c>
      <c r="D83" t="inlineStr"/>
      <c r="E83" s="205" t="inlineStr">
        <is>
          <t>🔗약관검색</t>
        </is>
      </c>
    </row>
    <row r="84">
      <c r="A84" t="inlineStr">
        <is>
          <t>DB손보</t>
        </is>
      </c>
      <c r="B84" t="inlineStr">
        <is>
          <t>주요심∬뇌∬5대혈관수술비Ⅱ(맞춤간편고지)(갱신형)</t>
        </is>
      </c>
      <c r="C84" t="n">
        <v>3000</v>
      </c>
      <c r="D84" t="inlineStr"/>
      <c r="E84" s="205" t="inlineStr">
        <is>
          <t>🔗약관검색</t>
        </is>
      </c>
    </row>
    <row r="85">
      <c r="A85" t="inlineStr">
        <is>
          <t>DB손보</t>
        </is>
      </c>
      <c r="B85" t="inlineStr">
        <is>
          <t>보험료납입면제대상보장(5대사유)(맞춤간편고지)(갱신형)</t>
        </is>
      </c>
      <c r="C85" t="n">
        <v>10</v>
      </c>
      <c r="D85" t="inlineStr"/>
      <c r="E85" s="205" t="inlineStr">
        <is>
          <t>🔗약관검색</t>
        </is>
      </c>
    </row>
    <row r="86">
      <c r="A86" t="inlineStr">
        <is>
          <t>AIG손보</t>
        </is>
      </c>
      <c r="B86" t="inlineStr">
        <is>
          <t>[갱신형]5대중증질병입원비(만기시 보험가입금액의 5배 지급)</t>
        </is>
      </c>
      <c r="C86" t="n">
        <v>4</v>
      </c>
      <c r="D86" t="inlineStr"/>
      <c r="E86" s="205" t="inlineStr">
        <is>
          <t>🔗약관검색</t>
        </is>
      </c>
    </row>
    <row r="87">
      <c r="A87" t="inlineStr">
        <is>
          <t>AIG손보</t>
        </is>
      </c>
      <c r="B87" t="inlineStr">
        <is>
          <t>[갱신형]5대특정 질병입원비</t>
        </is>
      </c>
      <c r="C87" t="n">
        <v>3</v>
      </c>
      <c r="D87" t="inlineStr"/>
      <c r="E87" s="205" t="inlineStr">
        <is>
          <t>🔗약관검색</t>
        </is>
      </c>
    </row>
    <row r="88">
      <c r="A88" t="inlineStr">
        <is>
          <t>AIG손보</t>
        </is>
      </c>
      <c r="B88" t="inlineStr">
        <is>
          <t>[갱신형]상급종합병원 질병입원비</t>
        </is>
      </c>
      <c r="C88" t="n">
        <v>5</v>
      </c>
      <c r="D88" t="inlineStr"/>
      <c r="E88" s="205" t="inlineStr">
        <is>
          <t>🔗약관검색</t>
        </is>
      </c>
    </row>
    <row r="89">
      <c r="A89" t="inlineStr">
        <is>
          <t>AIG손보</t>
        </is>
      </c>
      <c r="B89" t="inlineStr">
        <is>
          <t>[갱신형]상급종합병원 상해입원비</t>
        </is>
      </c>
      <c r="C89" t="n">
        <v>5</v>
      </c>
      <c r="D89" t="inlineStr"/>
      <c r="E89" s="205" t="inlineStr">
        <is>
          <t>🔗약관검색</t>
        </is>
      </c>
    </row>
    <row r="93">
      <c r="A93" t="inlineStr">
        <is>
          <t>[근거] 실손 세대 판정 (가입일 vs 상품코드 — 상품코드 우선)</t>
        </is>
      </c>
    </row>
    <row r="94">
      <c r="A94" t="inlineStr">
        <is>
          <t>회사</t>
        </is>
      </c>
      <c r="B94" t="inlineStr">
        <is>
          <t>가입일</t>
        </is>
      </c>
      <c r="C94" t="inlineStr">
        <is>
          <t>상품코드(YYMM)</t>
        </is>
      </c>
      <c r="D94" t="inlineStr">
        <is>
          <t>판정</t>
        </is>
      </c>
    </row>
    <row r="95">
      <c r="A95" t="inlineStr">
        <is>
          <t>DB손보</t>
        </is>
      </c>
      <c r="B95" t="inlineStr">
        <is>
          <t>2022.09.17</t>
        </is>
      </c>
      <c r="C95" t="inlineStr">
        <is>
          <t>2004</t>
        </is>
      </c>
      <c r="D95" t="inlineStr">
        <is>
          <t>3세대</t>
        </is>
      </c>
    </row>
    <row r="97">
      <c r="A97" t="inlineStr">
        <is>
          <t>[근거] 심장 블록 기재 내역 (원 담보명 → 기재 행) — 별첨 원문 그대로</t>
        </is>
      </c>
    </row>
    <row r="98">
      <c r="A98" t="inlineStr">
        <is>
          <t>회사</t>
        </is>
      </c>
      <c r="B98" t="inlineStr">
        <is>
          <t>별첨 원 담보명</t>
        </is>
      </c>
      <c r="C98" t="inlineStr">
        <is>
          <t>기재 행</t>
        </is>
      </c>
      <c r="D98" t="inlineStr">
        <is>
          <t>금액(만원)</t>
        </is>
      </c>
    </row>
    <row r="99">
      <c r="A99" t="inlineStr">
        <is>
          <t>메리츠화재</t>
        </is>
      </c>
      <c r="B99" t="inlineStr">
        <is>
          <t>허혈성심장질환수술비Ⅱ(25%체증형)(통합간편가입)</t>
        </is>
      </c>
      <c r="C99" t="inlineStr">
        <is>
          <t>허혈성수술비</t>
        </is>
      </c>
      <c r="D99" t="n">
        <v>500</v>
      </c>
    </row>
    <row r="100">
      <c r="A100" t="inlineStr">
        <is>
          <t>한화손보</t>
        </is>
      </c>
      <c r="B100" t="inlineStr">
        <is>
          <t>심혈관특정질환Ⅰ진단비(3N5간편,갱신형)</t>
        </is>
      </c>
      <c r="C100" t="inlineStr">
        <is>
          <t>협심증 · 부정맥 · 심부전 · 빈맥</t>
        </is>
      </c>
      <c r="D100" t="n">
        <v>100</v>
      </c>
    </row>
    <row r="101">
      <c r="A101" t="inlineStr">
        <is>
          <t>한화손보</t>
        </is>
      </c>
      <c r="B101" t="inlineStr">
        <is>
          <t>허혈성심장질환진단비(3N5간편,갱신형)</t>
        </is>
      </c>
      <c r="C101" t="inlineStr">
        <is>
          <t>허혈성 진단비</t>
        </is>
      </c>
      <c r="D101" t="n">
        <v>400</v>
      </c>
    </row>
    <row r="102">
      <c r="A102" t="inlineStr">
        <is>
          <t>한화손보</t>
        </is>
      </c>
      <c r="B102" t="inlineStr">
        <is>
          <t>뇌경색증혈전용해치료비(1회한)(3N5간편,갱신형)</t>
        </is>
      </c>
      <c r="C102" t="inlineStr">
        <is>
          <t>혈전용해치료비</t>
        </is>
      </c>
      <c r="D102" t="n">
        <v>1000</v>
      </c>
    </row>
    <row r="103">
      <c r="A103" t="inlineStr">
        <is>
          <t>한화손보</t>
        </is>
      </c>
      <c r="B103" t="inlineStr">
        <is>
          <t>특정급성심근경색증혈전용해치료비(1회한)(3N5간편,갱신형)</t>
        </is>
      </c>
      <c r="C103" t="inlineStr">
        <is>
          <t>급성심근경색</t>
        </is>
      </c>
      <c r="D103" t="n">
        <v>1000</v>
      </c>
    </row>
    <row r="104">
      <c r="A104" t="inlineStr">
        <is>
          <t>한화손보</t>
        </is>
      </c>
      <c r="B104" t="inlineStr">
        <is>
          <t>중증질환자(심장질환)산정특례대상진단비(연간1회한)(3N5간편,갱신형)</t>
        </is>
      </c>
      <c r="C104" t="inlineStr">
        <is>
          <t>산정특례심장</t>
        </is>
      </c>
      <c r="D104" t="n">
        <v>500</v>
      </c>
    </row>
    <row r="105">
      <c r="A105" t="inlineStr">
        <is>
          <t>삼성화재</t>
        </is>
      </c>
      <c r="B105" t="inlineStr">
        <is>
          <t>[간편]허혈성심장질환(90일면책) 진단비(1년50%)</t>
        </is>
      </c>
      <c r="C105" t="inlineStr">
        <is>
          <t>허혈성 진단비</t>
        </is>
      </c>
      <c r="D105" t="n">
        <v>500</v>
      </c>
    </row>
    <row r="106">
      <c r="A106" t="inlineStr">
        <is>
          <t>삼성화재</t>
        </is>
      </c>
      <c r="B106" t="inlineStr">
        <is>
          <t>[간편]혈전용해 치료비(1년50%)</t>
        </is>
      </c>
      <c r="C106" t="inlineStr">
        <is>
          <t>혈전용해치료비</t>
        </is>
      </c>
      <c r="D106" t="n">
        <v>100</v>
      </c>
    </row>
    <row r="107">
      <c r="A107" t="inlineStr">
        <is>
          <t>삼성화재</t>
        </is>
      </c>
      <c r="B107" t="inlineStr">
        <is>
          <t>5 [간편]기타 심장부정맥 진단비(1년50%)</t>
        </is>
      </c>
      <c r="C107" t="inlineStr">
        <is>
          <t>부정맥</t>
        </is>
      </c>
      <c r="D107" t="n">
        <v>100</v>
      </c>
    </row>
    <row r="108">
      <c r="A108" t="inlineStr">
        <is>
          <t>삼성화재</t>
        </is>
      </c>
      <c r="B108" t="inlineStr">
        <is>
          <t>[간편]심장부정맥 고주파∬냉각절제술치료비(급여)(연간1회한)(1년50%)</t>
        </is>
      </c>
      <c r="C108" t="inlineStr">
        <is>
          <t>부정맥</t>
        </is>
      </c>
      <c r="D108" t="n">
        <v>1000</v>
      </c>
    </row>
    <row r="109">
      <c r="A109" t="inlineStr">
        <is>
          <t>KB손보</t>
        </is>
      </c>
      <c r="B109" t="inlineStr">
        <is>
          <t>급성심근경색증진단비(10년갱신형)</t>
        </is>
      </c>
      <c r="C109" t="inlineStr">
        <is>
          <t>급성심근경색</t>
        </is>
      </c>
      <c r="D109" t="n">
        <v>1000</v>
      </c>
    </row>
    <row r="110">
      <c r="A110" t="inlineStr">
        <is>
          <t>KB손보</t>
        </is>
      </c>
      <c r="B110" t="inlineStr">
        <is>
          <t>허혈성심장질환진단비(10년갱신형)</t>
        </is>
      </c>
      <c r="C110" t="inlineStr">
        <is>
          <t>허혈성 진단비</t>
        </is>
      </c>
      <c r="D110" t="n">
        <v>300</v>
      </c>
    </row>
    <row r="111">
      <c r="A111" t="inlineStr">
        <is>
          <t>DB손보</t>
        </is>
      </c>
      <c r="B111" t="inlineStr">
        <is>
          <t>심장질환(특정Ⅱ)진단비</t>
        </is>
      </c>
      <c r="C111" t="inlineStr">
        <is>
          <t>급성심근경색</t>
        </is>
      </c>
      <c r="D111" t="n">
        <v>1000</v>
      </c>
    </row>
    <row r="112">
      <c r="A112" t="inlineStr">
        <is>
          <t>DB손보</t>
        </is>
      </c>
      <c r="B112" t="inlineStr">
        <is>
          <t>심장질환(특정Ⅰ)진단비</t>
        </is>
      </c>
      <c r="C112" t="inlineStr">
        <is>
          <t>협심증 · 심부전 · 빈맥 · 염증</t>
        </is>
      </c>
      <c r="D112" t="n">
        <v>500</v>
      </c>
    </row>
    <row r="113">
      <c r="A113" t="inlineStr">
        <is>
          <t>DB손보</t>
        </is>
      </c>
      <c r="B113" t="inlineStr">
        <is>
          <t>허혈성심질환진단비</t>
        </is>
      </c>
      <c r="C113" t="inlineStr">
        <is>
          <t>허혈성 진단비</t>
        </is>
      </c>
      <c r="D113" t="n">
        <v>200</v>
      </c>
    </row>
    <row r="114">
      <c r="A114" t="inlineStr">
        <is>
          <t>DB손보</t>
        </is>
      </c>
      <c r="B114" t="inlineStr">
        <is>
          <t>심근병증진단비</t>
        </is>
      </c>
      <c r="C114" t="inlineStr">
        <is>
          <t>심근병증</t>
        </is>
      </c>
      <c r="D114" t="n">
        <v>1000</v>
      </c>
    </row>
    <row r="115">
      <c r="A115" t="inlineStr">
        <is>
          <t>DB손보</t>
        </is>
      </c>
      <c r="B115" t="inlineStr">
        <is>
          <t>심장염증질환진단비</t>
        </is>
      </c>
      <c r="C115" t="inlineStr">
        <is>
          <t>염증</t>
        </is>
      </c>
      <c r="D115" t="n">
        <v>200</v>
      </c>
    </row>
    <row r="116">
      <c r="A116" t="inlineStr">
        <is>
          <t>DB손보</t>
        </is>
      </c>
      <c r="B116" t="inlineStr">
        <is>
          <t>심장판막협착증진단비(대동맥판막)</t>
        </is>
      </c>
      <c r="C116" t="inlineStr">
        <is>
          <t>심장판막</t>
        </is>
      </c>
      <c r="D116" t="n">
        <v>100</v>
      </c>
    </row>
    <row r="117">
      <c r="A117" t="inlineStr">
        <is>
          <t>DB손보</t>
        </is>
      </c>
      <c r="B117" t="inlineStr">
        <is>
          <t>혈전용해치료비(1회한,뇌경색증,급성심근경색증)</t>
        </is>
      </c>
      <c r="C117" t="inlineStr">
        <is>
          <t>혈전용해치료비</t>
        </is>
      </c>
      <c r="D117" t="n">
        <v>200</v>
      </c>
    </row>
    <row r="118">
      <c r="A118" t="inlineStr">
        <is>
          <t>DB손보</t>
        </is>
      </c>
      <c r="B118" t="inlineStr">
        <is>
          <t>중증질환자심장질환산정특례대상진단비Ⅱ(연간1회한)(맞춤간편고지)(갱신</t>
        </is>
      </c>
      <c r="C118" t="inlineStr">
        <is>
          <t>산정특례심장</t>
        </is>
      </c>
      <c r="D118" t="n">
        <v>600</v>
      </c>
    </row>
  </sheetData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0" r:id="rId13"/>
    <hyperlink xmlns:r="http://schemas.openxmlformats.org/officeDocument/2006/relationships" ref="E21" r:id="rId14"/>
    <hyperlink xmlns:r="http://schemas.openxmlformats.org/officeDocument/2006/relationships" ref="E22" r:id="rId15"/>
    <hyperlink xmlns:r="http://schemas.openxmlformats.org/officeDocument/2006/relationships" ref="E23" r:id="rId16"/>
    <hyperlink xmlns:r="http://schemas.openxmlformats.org/officeDocument/2006/relationships" ref="E24" r:id="rId17"/>
    <hyperlink xmlns:r="http://schemas.openxmlformats.org/officeDocument/2006/relationships" ref="E25" r:id="rId18"/>
    <hyperlink xmlns:r="http://schemas.openxmlformats.org/officeDocument/2006/relationships" ref="E26" r:id="rId19"/>
    <hyperlink xmlns:r="http://schemas.openxmlformats.org/officeDocument/2006/relationships" ref="E27" r:id="rId20"/>
    <hyperlink xmlns:r="http://schemas.openxmlformats.org/officeDocument/2006/relationships" ref="E28" r:id="rId21"/>
    <hyperlink xmlns:r="http://schemas.openxmlformats.org/officeDocument/2006/relationships" ref="E29" r:id="rId22"/>
    <hyperlink xmlns:r="http://schemas.openxmlformats.org/officeDocument/2006/relationships" ref="E30" r:id="rId23"/>
    <hyperlink xmlns:r="http://schemas.openxmlformats.org/officeDocument/2006/relationships" ref="E31" r:id="rId24"/>
    <hyperlink xmlns:r="http://schemas.openxmlformats.org/officeDocument/2006/relationships" ref="E32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6" r:id="rId29"/>
    <hyperlink xmlns:r="http://schemas.openxmlformats.org/officeDocument/2006/relationships" ref="E37" r:id="rId30"/>
    <hyperlink xmlns:r="http://schemas.openxmlformats.org/officeDocument/2006/relationships" ref="E38" r:id="rId31"/>
    <hyperlink xmlns:r="http://schemas.openxmlformats.org/officeDocument/2006/relationships" ref="E39" r:id="rId32"/>
    <hyperlink xmlns:r="http://schemas.openxmlformats.org/officeDocument/2006/relationships" ref="E40" r:id="rId33"/>
    <hyperlink xmlns:r="http://schemas.openxmlformats.org/officeDocument/2006/relationships" ref="E41" r:id="rId34"/>
    <hyperlink xmlns:r="http://schemas.openxmlformats.org/officeDocument/2006/relationships" ref="E42" r:id="rId35"/>
    <hyperlink xmlns:r="http://schemas.openxmlformats.org/officeDocument/2006/relationships" ref="E43" r:id="rId36"/>
    <hyperlink xmlns:r="http://schemas.openxmlformats.org/officeDocument/2006/relationships" ref="E44" r:id="rId37"/>
    <hyperlink xmlns:r="http://schemas.openxmlformats.org/officeDocument/2006/relationships" ref="E45" r:id="rId38"/>
    <hyperlink xmlns:r="http://schemas.openxmlformats.org/officeDocument/2006/relationships" ref="E46" r:id="rId39"/>
    <hyperlink xmlns:r="http://schemas.openxmlformats.org/officeDocument/2006/relationships" ref="E47" r:id="rId40"/>
    <hyperlink xmlns:r="http://schemas.openxmlformats.org/officeDocument/2006/relationships" ref="E48" r:id="rId41"/>
    <hyperlink xmlns:r="http://schemas.openxmlformats.org/officeDocument/2006/relationships" ref="E49" r:id="rId42"/>
    <hyperlink xmlns:r="http://schemas.openxmlformats.org/officeDocument/2006/relationships" ref="E50" r:id="rId43"/>
    <hyperlink xmlns:r="http://schemas.openxmlformats.org/officeDocument/2006/relationships" ref="E51" r:id="rId44"/>
    <hyperlink xmlns:r="http://schemas.openxmlformats.org/officeDocument/2006/relationships" ref="E52" r:id="rId45"/>
    <hyperlink xmlns:r="http://schemas.openxmlformats.org/officeDocument/2006/relationships" ref="E53" r:id="rId46"/>
    <hyperlink xmlns:r="http://schemas.openxmlformats.org/officeDocument/2006/relationships" ref="E54" r:id="rId47"/>
    <hyperlink xmlns:r="http://schemas.openxmlformats.org/officeDocument/2006/relationships" ref="E55" r:id="rId48"/>
    <hyperlink xmlns:r="http://schemas.openxmlformats.org/officeDocument/2006/relationships" ref="E56" r:id="rId49"/>
    <hyperlink xmlns:r="http://schemas.openxmlformats.org/officeDocument/2006/relationships" ref="E57" r:id="rId50"/>
    <hyperlink xmlns:r="http://schemas.openxmlformats.org/officeDocument/2006/relationships" ref="E58" r:id="rId51"/>
    <hyperlink xmlns:r="http://schemas.openxmlformats.org/officeDocument/2006/relationships" ref="E59" r:id="rId52"/>
    <hyperlink xmlns:r="http://schemas.openxmlformats.org/officeDocument/2006/relationships" ref="E60" r:id="rId53"/>
    <hyperlink xmlns:r="http://schemas.openxmlformats.org/officeDocument/2006/relationships" ref="E61" r:id="rId54"/>
    <hyperlink xmlns:r="http://schemas.openxmlformats.org/officeDocument/2006/relationships" ref="E62" r:id="rId55"/>
    <hyperlink xmlns:r="http://schemas.openxmlformats.org/officeDocument/2006/relationships" ref="E63" r:id="rId56"/>
    <hyperlink xmlns:r="http://schemas.openxmlformats.org/officeDocument/2006/relationships" ref="E64" r:id="rId57"/>
    <hyperlink xmlns:r="http://schemas.openxmlformats.org/officeDocument/2006/relationships" ref="E65" r:id="rId58"/>
    <hyperlink xmlns:r="http://schemas.openxmlformats.org/officeDocument/2006/relationships" ref="E66" r:id="rId59"/>
    <hyperlink xmlns:r="http://schemas.openxmlformats.org/officeDocument/2006/relationships" ref="E67" r:id="rId60"/>
    <hyperlink xmlns:r="http://schemas.openxmlformats.org/officeDocument/2006/relationships" ref="E68" r:id="rId61"/>
    <hyperlink xmlns:r="http://schemas.openxmlformats.org/officeDocument/2006/relationships" ref="E69" r:id="rId62"/>
    <hyperlink xmlns:r="http://schemas.openxmlformats.org/officeDocument/2006/relationships" ref="E70" r:id="rId63"/>
    <hyperlink xmlns:r="http://schemas.openxmlformats.org/officeDocument/2006/relationships" ref="E71" r:id="rId64"/>
    <hyperlink xmlns:r="http://schemas.openxmlformats.org/officeDocument/2006/relationships" ref="E72" r:id="rId65"/>
    <hyperlink xmlns:r="http://schemas.openxmlformats.org/officeDocument/2006/relationships" ref="E73" r:id="rId66"/>
    <hyperlink xmlns:r="http://schemas.openxmlformats.org/officeDocument/2006/relationships" ref="E74" r:id="rId67"/>
    <hyperlink xmlns:r="http://schemas.openxmlformats.org/officeDocument/2006/relationships" ref="E75" r:id="rId68"/>
    <hyperlink xmlns:r="http://schemas.openxmlformats.org/officeDocument/2006/relationships" ref="E76" r:id="rId69"/>
    <hyperlink xmlns:r="http://schemas.openxmlformats.org/officeDocument/2006/relationships" ref="E77" r:id="rId70"/>
    <hyperlink xmlns:r="http://schemas.openxmlformats.org/officeDocument/2006/relationships" ref="E78" r:id="rId71"/>
    <hyperlink xmlns:r="http://schemas.openxmlformats.org/officeDocument/2006/relationships" ref="E79" r:id="rId72"/>
    <hyperlink xmlns:r="http://schemas.openxmlformats.org/officeDocument/2006/relationships" ref="E80" r:id="rId73"/>
    <hyperlink xmlns:r="http://schemas.openxmlformats.org/officeDocument/2006/relationships" ref="E81" r:id="rId74"/>
    <hyperlink xmlns:r="http://schemas.openxmlformats.org/officeDocument/2006/relationships" ref="E82" r:id="rId75"/>
    <hyperlink xmlns:r="http://schemas.openxmlformats.org/officeDocument/2006/relationships" ref="E83" r:id="rId76"/>
    <hyperlink xmlns:r="http://schemas.openxmlformats.org/officeDocument/2006/relationships" ref="E84" r:id="rId77"/>
    <hyperlink xmlns:r="http://schemas.openxmlformats.org/officeDocument/2006/relationships" ref="E85" r:id="rId78"/>
    <hyperlink xmlns:r="http://schemas.openxmlformats.org/officeDocument/2006/relationships" ref="E86" r:id="rId79"/>
    <hyperlink xmlns:r="http://schemas.openxmlformats.org/officeDocument/2006/relationships" ref="E87" r:id="rId80"/>
    <hyperlink xmlns:r="http://schemas.openxmlformats.org/officeDocument/2006/relationships" ref="E88" r:id="rId81"/>
    <hyperlink xmlns:r="http://schemas.openxmlformats.org/officeDocument/2006/relationships" ref="E89" r:id="rId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2022-06-08T10:29:30Z</dcterms:created>
  <dcterms:modified xmlns:dcterms="http://purl.org/dc/terms/" xmlns:xsi="http://www.w3.org/2001/XMLSchema-instance" xsi:type="dcterms:W3CDTF">2026-07-03T04:14:45Z</dcterms:modified>
  <cp:lastModifiedBy>Windows</cp:lastModifiedBy>
  <cp:revision>0</cp:revision>
  <cp:lastPrinted>2026-05-12T16:05:05Z</cp:lastPrinted>
</cp:coreProperties>
</file>