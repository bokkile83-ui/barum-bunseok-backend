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<sst xmlns="http://schemas.openxmlformats.org/spreadsheetml/2006/main" count="328" uniqueCount="248">
  <si>
    <t xml:space="preserve">허정원 보장진단</t>
  </si>
  <si>
    <r>
      <rPr>
        <b val="true"/>
        <sz val="9"/>
        <color rgb="FFFFFFFF"/>
        <rFont val="Noto Sans CJK SC"/>
        <family val="2"/>
      </rPr>
      <t xml:space="preserve">미래에셋생명
미래에셋생명 치아보험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무배당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</si>
  <si>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라이나생명
무배당</t>
    </r>
    <r>
      <rPr>
        <b val="true"/>
        <sz val="9"/>
        <color rgb="FFFFFFFF"/>
        <rFont val="맑은 고딕"/>
        <family val="0"/>
        <charset val="1"/>
      </rPr>
      <t xml:space="preserve">THE</t>
    </r>
    <r>
      <rPr>
        <b val="true"/>
        <sz val="9"/>
        <color rgb="FFFFFFFF"/>
        <rFont val="Noto Sans CJK SC"/>
        <family val="2"/>
      </rPr>
      <t xml:space="preserve">건강한치아보험Ⅴ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</si>
  <si>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흥국화재
무배당 프리미엄 행복보험</t>
    </r>
    <r>
      <rPr>
        <b val="true"/>
        <sz val="9"/>
        <color rgb="FFFFFFFF"/>
        <rFont val="맑은 고딕"/>
        <family val="0"/>
        <charset val="1"/>
      </rPr>
      <t xml:space="preserve">(1204)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</si>
  <si>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컨버전스보험</t>
    </r>
    <r>
      <rPr>
        <b val="true"/>
        <sz val="9"/>
        <color rgb="FFFFFFFF"/>
        <rFont val="맑은 고딕"/>
        <family val="0"/>
        <charset val="1"/>
      </rPr>
      <t xml:space="preserve">1007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
(2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</si>
  <si>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합계</t>
  </si>
  <si>
    <t xml:space="preserve">보험료</t>
  </si>
  <si>
    <t xml:space="preserve">가입년일</t>
  </si>
  <si>
    <t xml:space="preserve">2026.04.22</t>
  </si>
  <si>
    <t xml:space="preserve">2026.04.30</t>
  </si>
  <si>
    <t xml:space="preserve">2012.09.27</t>
  </si>
  <si>
    <t xml:space="preserve">2010.09.13</t>
  </si>
  <si>
    <t xml:space="preserve">만기일자</t>
  </si>
  <si>
    <t xml:space="preserve">2046.04.22</t>
  </si>
  <si>
    <t xml:space="preserve">2036.04.30</t>
  </si>
  <si>
    <t xml:space="preserve">2075.09.27</t>
  </si>
  <si>
    <t xml:space="preserve">2095.09.13</t>
  </si>
  <si>
    <t xml:space="preserve">총납입기간</t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</si>
  <si>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(2/240)</t>
    </r>
  </si>
  <si>
    <r>
      <rPr>
        <sz val="9"/>
        <color rgb="FF0070C0"/>
        <rFont val="맑은 고딕"/>
        <family val="0"/>
        <charset val="1"/>
      </rPr>
      <t xml:space="preserve">10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(1/120)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</si>
  <si>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(165/240)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</si>
  <si>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(189/240)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</si>
  <si>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</si>
  <si>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</si>
  <si>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</si>
  <si>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</si>
  <si>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</si>
  <si>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</si>
  <si>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</si>
  <si>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</si>
  <si>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</si>
  <si>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</si>
  <si>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</si>
  <si>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</si>
  <si>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</si>
  <si>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</si>
  <si>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</si>
  <si>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</si>
  <si>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</si>
  <si>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</si>
  <si>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</si>
  <si>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</si>
  <si>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</si>
  <si>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</si>
  <si>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</si>
  <si>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</si>
  <si>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</si>
  <si>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</si>
  <si>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</si>
  <si>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</si>
  <si>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</si>
  <si>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</si>
  <si>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</si>
  <si>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</si>
  <si>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</si>
  <si>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</si>
  <si>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</si>
  <si>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</si>
  <si>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</si>
  <si>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</si>
  <si>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</si>
  <si>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</si>
  <si>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</si>
  <si>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</si>
  <si>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</si>
  <si>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</si>
  <si>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</si>
  <si>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</si>
  <si>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</si>
  <si>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</si>
  <si>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</si>
  <si>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</si>
  <si>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</si>
  <si>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</si>
  <si>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</si>
  <si>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</si>
  <si>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</si>
  <si>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</si>
  <si>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</si>
  <si>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</si>
  <si>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</si>
  <si>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</si>
  <si>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</si>
  <si>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</si>
  <si>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</si>
  <si>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</si>
  <si>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</si>
  <si>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</si>
  <si>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</si>
  <si>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</si>
  <si>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</si>
  <si>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</si>
  <si>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</si>
  <si>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</si>
  <si>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</si>
  <si>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</si>
  <si>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</si>
  <si>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</si>
  <si>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</si>
  <si>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</si>
  <si>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</si>
  <si>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</si>
  <si>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</si>
  <si>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</si>
  <si>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</si>
  <si>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</si>
  <si>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</si>
  <si>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</si>
  <si>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</si>
  <si>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</si>
  <si>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</si>
  <si>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</si>
  <si>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</si>
  <si>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</si>
  <si>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</si>
  <si>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</si>
  <si>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</si>
  <si>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</si>
  <si>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</si>
  <si>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</si>
  <si>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</si>
  <si>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</si>
  <si>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</si>
  <si>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</si>
  <si>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</si>
  <si>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</si>
  <si>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</si>
  <si>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</si>
  <si>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</si>
  <si>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</si>
  <si>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</si>
  <si>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</si>
  <si>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</si>
  <si>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</si>
  <si>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</si>
  <si>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</si>
  <si>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</si>
  <si>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</si>
  <si>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</si>
  <si>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</si>
  <si>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</si>
  <si>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</si>
  <si>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</si>
  <si>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</si>
  <si>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</si>
  <si>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</si>
  <si>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</si>
  <si>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</si>
  <si>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</si>
  <si>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</si>
  <si>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</si>
  <si>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</si>
  <si>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</si>
  <si>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</si>
  <si>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허정원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2026.07.13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</si>
  <si>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</si>
  <si>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</si>
  <si>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209,004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</si>
  <si>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</si>
  <si>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</si>
  <si>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</si>
  <si>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</si>
  <si>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</si>
  <si>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</si>
  <si>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미래에셋생명</t>
  </si>
  <si>
    <r>
      <rPr>
        <sz val="11"/>
        <color rgb="FF000000"/>
        <rFont val="Noto Sans CJK SC"/>
        <family val="2"/>
      </rPr>
      <t xml:space="preserve">미래에셋생명 치아보험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무배당 최초계약</t>
    </r>
  </si>
  <si>
    <t xml:space="preserve">https://search.naver.com/search.naver?query=%EB%AF%B8%EB%9E%98%EC%97%90%EC%85%8B%EC%83%9D%EB%AA%85%20%EB%AF%B8%EB%9E%98%EC%97%90%EC%85%8B%EC%83%9D%EB%AA%85%20%EC%B9%98%EC%95%84%EB%B3%B4%ED%97%98%20%EA%B0%B1%EC%8B%A0%ED%98%95%20%20%EB%AC%B4%20%EB%AF%B8%EB%9E%98%EC%97%90%EC%85%8B%EC%83%9D%EB%AA%85%20%EC%B9%98%EC%95%84%EB%B3%B4%ED%97%98%28%20%EC%95%BD%EA%B4%80%20%EB%B3%B4%EC%9E%A5%EB%82%B4%EC%9A%A9</t>
  </si>
  <si>
    <t xml:space="preserve">라이나생명</t>
  </si>
  <si>
    <r>
      <rPr>
        <sz val="11"/>
        <color rgb="FF000000"/>
        <rFont val="Noto Sans CJK SC"/>
        <family val="2"/>
      </rPr>
      <t xml:space="preserve">무배당치아추가보장특약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</si>
  <si>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B9%98%EC%95%84%EC%B6%94%EA%B0%80%EB%B3%B4%EC%9E%A5%ED%8A%B9%EC%95%BD%28%20%EC%95%BD%EA%B4%80%20%EB%B3%B4%EC%9E%A5%EB%82%B4%EC%9A%A9</t>
  </si>
  <si>
    <r>
      <rPr>
        <sz val="11"/>
        <color rgb="FF000000"/>
        <rFont val="Noto Sans CJK SC"/>
        <family val="2"/>
      </rPr>
      <t xml:space="preserve">무배당소액치과치료특약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</si>
  <si>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86%8C%EC%95%A1%EC%B9%98%EA%B3%BC%EC%B9%98%EB%A3%8C%ED%8A%B9%EC%95%BD%28%20%EC%95%BD%EA%B4%80%20%EB%B3%B4%EC%9E%A5%EB%82%B4%EC%9A%A9</t>
  </si>
  <si>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THE</t>
    </r>
    <r>
      <rPr>
        <sz val="11"/>
        <color rgb="FF000000"/>
        <rFont val="Noto Sans CJK SC"/>
        <family val="2"/>
      </rPr>
      <t xml:space="preserve">건강한치아보험Ⅴ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</si>
  <si>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THE%EA%B1%B4%EA%B0%95%ED%95%9C%EC%B9%98%EC%95%84%EB%B3%B4%20%EC%95%BD%EA%B4%80%20%EB%B3%B4%EC%9E%A5%EB%82%B4%EC%9A%A9</t>
  </si>
  <si>
    <r>
      <rPr>
        <sz val="11"/>
        <color rgb="FF000000"/>
        <rFont val="Noto Sans CJK SC"/>
        <family val="2"/>
      </rPr>
      <t xml:space="preserve">무배당전치부크라운보장특약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</si>
  <si>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A0%84%EC%B9%98%EB%B6%80%ED%81%AC%EB%9D%BC%EC%9A%B4%EB%B3%B4%EC%9E%A5%ED%8A%B9%20%EC%95%BD%EA%B4%80%20%EB%B3%B4%EC%9E%A5%EB%82%B4%EC%9A%A9</t>
  </si>
  <si>
    <r>
      <rPr>
        <sz val="11"/>
        <color rgb="FF000000"/>
        <rFont val="Noto Sans CJK SC"/>
        <family val="2"/>
      </rPr>
      <t xml:space="preserve">무배당충전치료보장특약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</si>
  <si>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B6%A9%EC%A0%84%EC%B9%98%EB%A3%8C%EB%B3%B4%EC%9E%A5%ED%8A%B9%EC%95%BD%28%20%EC%95%BD%EA%B4%80%20%EB%B3%B4%EC%9E%A5%EB%82%B4%EC%9A%A9</t>
  </si>
  <si>
    <r>
      <rPr>
        <sz val="11"/>
        <color rgb="FF000000"/>
        <rFont val="Noto Sans CJK SC"/>
        <family val="2"/>
      </rPr>
      <t xml:space="preserve">무배당크라운보장특약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</si>
  <si>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D%81%AC%EB%9D%BC%EC%9A%B4%EB%B3%B4%EC%9E%A5%ED%8A%B9%EC%95%BD%28%EA%B0%B1%20%EC%95%BD%EA%B4%80%20%EB%B3%B4%EC%9E%A5%EB%82%B4%EC%9A%A9</t>
  </si>
  <si>
    <r>
      <rPr>
        <sz val="11"/>
        <color rgb="FF000000"/>
        <rFont val="Noto Sans CJK SC"/>
        <family val="2"/>
      </rPr>
      <t xml:space="preserve">무배당신보철치료보장특약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프리미엄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</si>
  <si>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8B%A0%EB%B3%B4%EC%B2%A0%EC%B9%98%EB%A3%8C%EB%B3%B4%EC%9E%A5%ED%8A%B9%EC%95%BD%20%EC%95%BD%EA%B4%80%20%EB%B3%B4%EC%9E%A5%EB%82%B4%EC%9A%A9</t>
  </si>
  <si>
    <r>
      <rPr>
        <sz val="11"/>
        <color rgb="FF000000"/>
        <rFont val="Noto Sans CJK SC"/>
        <family val="2"/>
      </rPr>
      <t xml:space="preserve">무배당전치부보철치료보장특약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프리미엄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</si>
  <si>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A0%84%EC%B9%98%EB%B6%80%EB%B3%B4%EC%B2%A0%EC%B9%98%EB%A3%8C%EB%B3%B4%EC%9E%A5%20%EC%95%BD%EA%B4%80%20%EB%B3%B4%EC%9E%A5%EB%82%B4%EC%9A%A9</t>
  </si>
  <si>
    <r>
      <rPr>
        <sz val="11"/>
        <color rgb="FF000000"/>
        <rFont val="Noto Sans CJK SC"/>
        <family val="2"/>
      </rPr>
      <t xml:space="preserve">무배당치아추가보장특약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 0.5</t>
    </r>
  </si>
  <si>
    <t xml:space="preserve">흥국화재</t>
  </si>
  <si>
    <t xml:space="preserve">고액치료비암진단비</t>
  </si>
  <si>
    <t xml:space="preserve">https://search.naver.com/search.naver?query=%ED%9D%A5%EA%B5%AD%ED%99%94%EC%9E%AC%20%EB%AC%B4%EB%B0%B0%EB%8B%B9%20%ED%94%84%EB%A6%AC%EB%AF%B8%EC%97%84%20%ED%96%89%EB%B3%B5%EB%B3%B4%ED%97%98%201204%20%EA%B3%A0%EC%95%A1%EC%B9%98%EB%A3%8C%EB%B9%84%EC%95%94%EC%A7%84%EB%8B%A8%EB%B9%84%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</si>
  <si>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손보</t>
    </r>
  </si>
  <si>
    <t xml:space="preserve">만성당뇨합병증진단비</t>
  </si>
  <si>
    <t xml:space="preserve">https://search.naver.com/search.naver?query=DB%EC%86%90%EB%B3%B4%20%EC%BB%A8%EB%B2%84%EC%A0%84%EC%8A%A4%EB%B3%B4%ED%97%981007%20%EB%A7%8C%EC%84%B1%EB%8B%B9%EB%87%A8%ED%95%A9%EB%B3%91%EC%A6%9D%EC%A7%84%EB%8B%A8%EB%B9%84%20%EC%95%BD%EA%B4%80%20%EB%B3%B4%EC%9E%A5%EB%82%B4%EC%9A%A9</t>
  </si>
  <si>
    <t xml:space="preserve">말기신부전증진단비</t>
  </si>
  <si>
    <t xml:space="preserve">https://search.naver.com/search.naver?query=DB%EC%86%90%EB%B3%B4%20%EC%BB%A8%EB%B2%84%EC%A0%84%EC%8A%A4%EB%B3%B4%ED%97%981007%20%EB%A7%90%EA%B8%B0%EC%8B%A0%EB%B6%80%EC%A0%84%EC%A6%9D%EC%A7%84%EB%8B%A8%EB%B9%84%20%EC%95%BD%EA%B4%80%20%EB%B3%B4%EC%9E%A5%EB%82%B4%EC%9A%A9</t>
  </si>
  <si>
    <t xml:space="preserve">중대한재생불량성빈혈진단비</t>
  </si>
  <si>
    <t xml:space="preserve">https://search.naver.com/search.naver?query=DB%EC%86%90%EB%B3%B4%20%EC%BB%A8%EB%B2%84%EC%A0%84%EC%8A%A4%EB%B3%B4%ED%97%981007%20%EC%A4%91%EB%8C%80%ED%95%9C%EC%9E%AC%EC%83%9D%EB%B6%88%EB%9F%89%EC%84%B1%EB%B9%88%ED%98%88%EC%A7%84%EB%8B%A8%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</si>
  <si>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대고액치료비암진단비</t>
    </r>
  </si>
  <si>
    <t xml:space="preserve">https://search.naver.com/search.naver?query=DB%EC%86%90%EB%B3%B4%20%EC%BB%A8%EB%B2%84%EC%A0%84%EC%8A%A4%EB%B3%B4%ED%97%981007%203%EB%8C%80%EA%B3%A0%EC%95%A1%EC%B9%98%EB%A3%8C%EB%B9%84%EC%95%94%EC%A7%84%EB%8B%A8%EB%B9%84%20%EC%95%BD%EA%B4%80%20%EB%B3%B4%EC%9E%A5%EB%82%B4%EC%9A%A9</t>
  </si>
  <si>
    <t xml:space="preserve">상해흉터복원수술비</t>
  </si>
  <si>
    <t xml:space="preserve">https://search.naver.com/search.naver?query=DB%EC%86%90%EB%B3%B4%20%EC%BB%A8%EB%B2%84%EC%A0%84%EC%8A%A4%EB%B3%B4%ED%97%981007%20%EC%83%81%ED%95%B4%ED%9D%89%ED%84%B0%EB%B3%B5%EC%9B%90%EC%88%98%EC%88%A0%EB%B9%84%20%EC%95%BD%EA%B4%80%20%EB%B3%B4%EC%9E%A5%EB%82%B4%EC%9A%A9</t>
  </si>
  <si>
    <r>
      <rPr>
        <sz val="11"/>
        <color rgb="FF000000"/>
        <rFont val="Noto Sans CJK SC"/>
        <family val="2"/>
      </rPr>
      <t xml:space="preserve">여성만성질병수술비</t>
    </r>
    <r>
      <rPr>
        <sz val="11"/>
        <color rgb="FF000000"/>
        <rFont val="맑은 고딕"/>
        <family val="3"/>
        <charset val="129"/>
      </rPr>
      <t xml:space="preserve">(3</t>
    </r>
    <r>
      <rPr>
        <sz val="11"/>
        <color rgb="FF000000"/>
        <rFont val="Noto Sans CJK SC"/>
        <family val="2"/>
      </rPr>
      <t xml:space="preserve">년갱신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</si>
  <si>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B%A8%EB%B2%84%EC%A0%84%EC%8A%A4%EB%B3%B4%ED%97%981007%20%EC%97%AC%EC%84%B1%EB%A7%8C%EC%84%B1%EC%A7%88%EB%B3%91%EC%88%98%EC%88%A0%EB%B9%84%283%EB%85%84%20%EC%95%BD%EA%B4%80%20%EB%B3%B4%EC%9E%A5%EB%82%B4%EC%9A%A9</t>
  </si>
  <si>
    <r>
      <rPr>
        <sz val="11"/>
        <color rgb="FF000000"/>
        <rFont val="Noto Sans CJK SC"/>
        <family val="2"/>
      </rPr>
      <t xml:space="preserve">중대상해수술비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뇌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내장손상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</si>
  <si>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B%A8%EB%B2%84%EC%A0%84%EC%8A%A4%EB%B3%B4%ED%97%981007%20%EC%A4%91%EB%8C%80%EC%83%81%ED%95%B4%EC%88%98%EC%88%A0%EB%B9%84%28%EB%87%8C%2C%EB%82%B4%EC%9E%A5%20%EC%95%BD%EA%B4%80%20%EB%B3%B4%EC%9E%A5%EB%82%B4%EC%9A%A9</t>
  </si>
  <si>
    <t xml:space="preserve">조혈모세포이식수술비</t>
  </si>
  <si>
    <t xml:space="preserve">https://search.naver.com/search.naver?query=DB%EC%86%90%EB%B3%B4%20%EC%BB%A8%EB%B2%84%EC%A0%84%EC%8A%A4%EB%B3%B4%ED%97%981007%20%EC%A1%B0%ED%98%88%EB%AA%A8%EC%84%B8%ED%8F%AC%EC%9D%B4%EC%8B%9D%EC%88%98%EC%88%A0%EB%B9%84%20%EC%95%BD%EA%B4%80%20%EB%B3%B4%EC%9E%A5%EB%82%B4%EC%9A%A9</t>
  </si>
  <si>
    <t xml:space="preserve">인공관절수술비</t>
  </si>
  <si>
    <t xml:space="preserve">https://search.naver.com/search.naver?query=DB%EC%86%90%EB%B3%B4%20%EC%BB%A8%EB%B2%84%EC%A0%84%EC%8A%A4%EB%B3%B4%ED%97%981007%20%EC%9D%B8%EA%B3%B5%EA%B4%80%EC%A0%88%EC%88%98%EC%88%A0%EB%B9%84%20%EC%95%BD%EA%B4%80%20%EB%B3%B4%EC%9E%A5%EB%82%B4%EC%9A%A9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</si>
  <si>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대장기이식수술비</t>
    </r>
  </si>
  <si>
    <t xml:space="preserve">https://search.naver.com/search.naver?query=DB%EC%86%90%EB%B3%B4%20%EC%BB%A8%EB%B2%84%EC%A0%84%EC%8A%A4%EB%B3%B4%ED%97%981007%205%EB%8C%80%EC%9E%A5%EA%B8%B0%EC%9D%B4%EC%8B%9D%EC%88%98%EC%88%A0%EB%B9%84%20%EC%95%BD%EA%B4%80%20%EB%B3%B4%EC%9E%A5%EB%82%B4%EC%9A%A9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</si>
  <si>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7</t>
    </r>
    <r>
      <rPr>
        <sz val="11"/>
        <color rgb="FF000000"/>
        <rFont val="Noto Sans CJK SC"/>
        <family val="2"/>
      </rPr>
      <t xml:space="preserve">대질병수술비</t>
    </r>
  </si>
  <si>
    <t xml:space="preserve">https://search.naver.com/search.naver?query=DB%EC%86%90%EB%B3%B4%20%EC%BB%A8%EB%B2%84%EC%A0%84%EC%8A%A4%EB%B3%B4%ED%97%981007%207%EB%8C%80%EC%A7%88%EB%B3%91%EC%88%98%EC%88%A0%EB%B9%84%20%EC%95%BD%EA%B4%80%20%EB%B3%B4%EC%9E%A5%EB%82%B4%EC%9A%A9</t>
  </si>
  <si>
    <t xml:space="preserve">각막이식수술비</t>
  </si>
  <si>
    <t xml:space="preserve">https://search.naver.com/search.naver?query=DB%EC%86%90%EB%B3%B4%20%EC%BB%A8%EB%B2%84%EC%A0%84%EC%8A%A4%EB%B3%B4%ED%97%981007%20%EA%B0%81%EB%A7%89%EC%9D%B4%EC%8B%9D%EC%88%98%EC%88%A0%EB%B9%84%20%EC%95%BD%EA%B4%80%20%EB%B3%B4%EC%9E%A5%EB%82%B4%EC%9A%A9</t>
  </si>
  <si>
    <t xml:space="preserve">관상동맥우회술수술비</t>
  </si>
  <si>
    <t xml:space="preserve">https://search.naver.com/search.naver?query=DB%EC%86%90%EB%B3%B4%20%EC%BB%A8%EB%B2%84%EC%A0%84%EC%8A%A4%EB%B3%B4%ED%97%981007%20%EA%B4%80%EC%83%81%EB%8F%99%EB%A7%A5%EC%9A%B0%ED%9A%8C%EC%88%A0%EC%88%98%EC%88%A0%EB%B9%84%20%EC%95%BD%EA%B4%80%20%EB%B3%B4%EC%9E%A5%EB%82%B4%EC%9A%A9</t>
  </si>
  <si>
    <r>
      <rPr>
        <sz val="11"/>
        <color rgb="FF000000"/>
        <rFont val="Noto Sans CJK SC"/>
        <family val="2"/>
      </rPr>
      <t xml:space="preserve">부인과질병수술비</t>
    </r>
    <r>
      <rPr>
        <sz val="11"/>
        <color rgb="FF000000"/>
        <rFont val="맑은 고딕"/>
        <family val="3"/>
        <charset val="129"/>
      </rPr>
      <t xml:space="preserve">(3</t>
    </r>
    <r>
      <rPr>
        <sz val="11"/>
        <color rgb="FF000000"/>
        <rFont val="Noto Sans CJK SC"/>
        <family val="2"/>
      </rPr>
      <t xml:space="preserve">년갱신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</si>
  <si>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B%A8%EB%B2%84%EC%A0%84%EC%8A%A4%EB%B3%B4%ED%97%981007%20%EB%B6%80%EC%9D%B8%EA%B3%BC%EC%A7%88%EB%B3%91%EC%88%98%EC%88%A0%EB%B9%84%283%EB%85%84%EA%B0%B1%20%EC%95%BD%EA%B4%80%20%EB%B3%B4%EC%9E%A5%EB%82%B4%EC%9A%A9</t>
  </si>
  <si>
    <t xml:space="preserve">시청각질환수술비</t>
  </si>
  <si>
    <t xml:space="preserve">https://search.naver.com/search.naver?query=DB%EC%86%90%EB%B3%B4%20%EC%BB%A8%EB%B2%84%EC%A0%84%EC%8A%A4%EB%B3%B4%ED%97%981007%20%EC%8B%9C%EC%B2%AD%EA%B0%81%EC%A7%88%ED%99%98%EC%88%98%EC%88%A0%EB%B9%84%20%EC%95%BD%EA%B4%80%20%EB%B3%B4%EC%9E%A5%EB%82%B4%EC%9A%A9</t>
  </si>
  <si>
    <r>
      <rPr>
        <sz val="11"/>
        <color rgb="FF000000"/>
        <rFont val="Noto Sans CJK SC"/>
        <family val="2"/>
      </rPr>
      <t xml:space="preserve">샘암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</si>
  <si>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https://search.naver.com/search.naver?query=DB%EC%86%90%EB%B3%B4%20%EC%BB%A8%EB%B2%84%EC%A0%84%EC%8A%A4%EB%B3%B4%ED%97%981007%20%EC%83%98%EC%95%94%29%20%EC%95%BD%EA%B4%80%20%EB%B3%B4%EC%9E%A5%EB%82%B4%EC%9A%A9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</si>
  <si>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</si>
  <si>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</si>
  <si>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</si>
  <si>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</si>
  <si>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1007</t>
  </si>
  <si>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</si>
  <si>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</si>
  <si>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</si>
  <si>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</si>
  <si>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t xml:space="preserve">급성심근경색증진단비</t>
  </si>
  <si>
    <t xml:space="preserve">심장판막수술비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</si>
  <si>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</si>
  <si>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</si>
  <si>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t xml:space="preserve">암수술비</t>
  </si>
  <si>
    <r>
      <rPr>
        <sz val="11"/>
        <color rgb="FF000000"/>
        <rFont val="Noto Sans CJK SC"/>
        <family val="2"/>
      </rPr>
      <t xml:space="preserve">암수술비Ⅰ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상피내암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갑상샘암구분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</si>
  <si>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암수술비Ⅱ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</si>
  <si>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</si>
  <si>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이차암진단비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</si>
  <si>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암입원비</t>
    </r>
    <r>
      <rPr>
        <sz val="11"/>
        <color rgb="FF000000"/>
        <rFont val="맑은 고딕"/>
        <family val="3"/>
        <charset val="129"/>
      </rPr>
      <t xml:space="preserve">(4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-120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</si>
  <si>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암진단비</t>
  </si>
  <si>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대암진단비</t>
    </r>
  </si>
  <si>
    <r>
      <rPr>
        <sz val="11"/>
        <color rgb="FF000000"/>
        <rFont val="Noto Sans CJK SC"/>
        <family val="2"/>
      </rPr>
      <t xml:space="preserve">암진단비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상피내암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갑상샘암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</si>
  <si>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암입원일당</t>
    </r>
    <r>
      <rPr>
        <sz val="11"/>
        <color rgb="FF000000"/>
        <rFont val="맑은 고딕"/>
        <family val="3"/>
        <charset val="129"/>
      </rPr>
      <t xml:space="preserve">(4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~120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상피내암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갑상</t>
    </r>
  </si>
  <si>
    <t xml:space="preserve">std</t>
  </si>
  <si>
    <t xml:space="preserve">raw</t>
  </si>
  <si>
    <t xml:space="preserve">amt</t>
  </si>
  <si>
    <r>
      <rPr>
        <sz val="11"/>
        <color rgb="FF000000"/>
        <rFont val="Noto Sans CJK SC"/>
        <family val="2"/>
      </rPr>
      <t xml:space="preserve">뇌졸중진단비</t>
    </r>
    <r>
      <rPr>
        <sz val="11"/>
        <color rgb="FF000000"/>
        <rFont val="맑은 고딕"/>
        <family val="3"/>
        <charset val="129"/>
      </rPr>
      <t xml:space="preserve">(3</t>
    </r>
    <r>
      <rPr>
        <sz val="11"/>
        <color rgb="FF000000"/>
        <rFont val="Noto Sans CJK SC"/>
        <family val="2"/>
      </rPr>
      <t xml:space="preserve">년갱신</t>
    </r>
    <r>
      <rPr>
        <sz val="11"/>
        <color rgb="FF000000"/>
        <rFont val="맑은 고딕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</si>
</sst>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1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70C0"/>
      <name val="맑은 고딕"/>
      <family val="0"/>
      <charset val="1"/>
    </font>
    <font>
      <sz val="9"/>
      <color rgb="FF00000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9"/>
      <color rgb="FF0070C0"/>
      <name val="Noto Sans CJK SC"/>
      <family val="2"/>
    </font>
    <font>
      <sz val="9"/>
      <color rgb="FF00000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C00000"/>
        <bgColor rgb="FFFF000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7" min="3" style="1" width="12"/>
    <col collapsed="false" customWidth="true" hidden="false" outlineLevel="0" max="8" min="8" style="1" width="16.5"/>
    <col collapsed="false" customWidth="true" hidden="false" outlineLevel="0" max="9" min="9" style="1" width="14.5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customFormat="false" ht="16.5" hidden="false" customHeight="true" outlineLevel="0" collapsed="false">
      <c r="A2" s="7" t="s">
        <v>6</v>
      </c>
      <c r="B2" s="7"/>
      <c r="C2" s="8" t="n">
        <v>27100</v>
      </c>
      <c r="D2" s="8" t="n">
        <v>51155</v>
      </c>
      <c r="E2" s="9" t="n">
        <v>44619</v>
      </c>
      <c r="F2" s="9" t="n">
        <v>86130</v>
      </c>
      <c r="G2" s="10" t="n">
        <f aca="false">SUM(C2:F2)</f>
        <v>209004</v>
      </c>
    </row>
    <row r="3" customFormat="false" ht="16.5" hidden="false" customHeight="true" outlineLevel="0" collapsed="false">
      <c r="A3" s="11" t="s">
        <v>7</v>
      </c>
      <c r="B3" s="11"/>
      <c r="C3" s="12" t="s">
        <v>8</v>
      </c>
      <c r="D3" s="12" t="s">
        <v>9</v>
      </c>
      <c r="E3" s="13" t="s">
        <v>10</v>
      </c>
      <c r="F3" s="13" t="s">
        <v>11</v>
      </c>
      <c r="G3" s="14"/>
    </row>
    <row r="4" customFormat="false" ht="16.5" hidden="false" customHeight="true" outlineLevel="0" collapsed="false">
      <c r="A4" s="11" t="s">
        <v>12</v>
      </c>
      <c r="B4" s="11"/>
      <c r="C4" s="12" t="s">
        <v>13</v>
      </c>
      <c r="D4" s="12" t="s">
        <v>14</v>
      </c>
      <c r="E4" s="13" t="s">
        <v>15</v>
      </c>
      <c r="F4" s="13" t="s">
        <v>16</v>
      </c>
      <c r="G4" s="14"/>
    </row>
    <row r="5" customFormat="false" ht="17.25" hidden="false" customHeight="true" outlineLevel="0" collapsed="false">
      <c r="A5" s="11" t="s">
        <v>17</v>
      </c>
      <c r="B5" s="11"/>
      <c r="C5" s="12" t="s">
        <v>18</v>
      </c>
      <c r="D5" s="12" t="s">
        <v>19</v>
      </c>
      <c r="E5" s="13" t="s">
        <v>20</v>
      </c>
      <c r="F5" s="13" t="s">
        <v>21</v>
      </c>
      <c r="G5" s="15"/>
    </row>
    <row r="6" customFormat="false" ht="16.5" hidden="false" customHeight="true" outlineLevel="0" collapsed="false">
      <c r="A6" s="16" t="s">
        <v>22</v>
      </c>
      <c r="B6" s="17" t="s">
        <v>23</v>
      </c>
      <c r="C6" s="18"/>
      <c r="D6" s="18"/>
      <c r="E6" s="18"/>
      <c r="F6" s="18"/>
      <c r="G6" s="19" t="n">
        <f aca="false">SUM(C6:F6)</f>
        <v>0</v>
      </c>
    </row>
    <row r="7" customFormat="false" ht="17.25" hidden="false" customHeight="true" outlineLevel="0" collapsed="false">
      <c r="A7" s="16"/>
      <c r="B7" s="20" t="s">
        <v>24</v>
      </c>
      <c r="C7" s="21"/>
      <c r="D7" s="21"/>
      <c r="E7" s="21"/>
      <c r="F7" s="21"/>
      <c r="G7" s="22" t="n">
        <f aca="false">SUM(C7:F7)</f>
        <v>0</v>
      </c>
    </row>
    <row r="8" customFormat="false" ht="17.25" hidden="false" customHeight="true" outlineLevel="0" collapsed="false">
      <c r="A8" s="16"/>
      <c r="B8" s="23" t="s">
        <v>25</v>
      </c>
      <c r="C8" s="21"/>
      <c r="D8" s="21"/>
      <c r="E8" s="24" t="n">
        <v>2000</v>
      </c>
      <c r="F8" s="24" t="n">
        <v>12000</v>
      </c>
      <c r="G8" s="22" t="n">
        <f aca="false">SUM(C8:F8)</f>
        <v>14000</v>
      </c>
    </row>
    <row r="9" customFormat="false" ht="16.5" hidden="false" customHeight="true" outlineLevel="0" collapsed="false">
      <c r="A9" s="16"/>
      <c r="B9" s="23" t="s">
        <v>26</v>
      </c>
      <c r="C9" s="21"/>
      <c r="D9" s="21"/>
      <c r="E9" s="21"/>
      <c r="F9" s="21"/>
      <c r="G9" s="22" t="n">
        <f aca="false">SUM(C9:F9)</f>
        <v>0</v>
      </c>
    </row>
    <row r="10" customFormat="false" ht="17.25" hidden="false" customHeight="true" outlineLevel="0" collapsed="false">
      <c r="A10" s="16"/>
      <c r="B10" s="25" t="s">
        <v>27</v>
      </c>
      <c r="C10" s="26"/>
      <c r="D10" s="26"/>
      <c r="E10" s="9" t="n">
        <v>8000</v>
      </c>
      <c r="F10" s="9" t="n">
        <v>20000</v>
      </c>
      <c r="G10" s="10" t="n">
        <f aca="false">SUM(C10:F10)</f>
        <v>28000</v>
      </c>
    </row>
    <row r="11" customFormat="false" ht="16.5" hidden="false" customHeight="true" outlineLevel="0" collapsed="false">
      <c r="A11" s="27" t="s">
        <v>28</v>
      </c>
      <c r="B11" s="23" t="s">
        <v>29</v>
      </c>
      <c r="C11" s="21"/>
      <c r="D11" s="21"/>
      <c r="E11" s="24" t="n">
        <v>16000</v>
      </c>
      <c r="F11" s="24" t="n">
        <v>12000</v>
      </c>
      <c r="G11" s="22" t="n">
        <f aca="false">SUM(C11:F11)</f>
        <v>28000</v>
      </c>
    </row>
    <row r="12" customFormat="false" ht="16.5" hidden="false" customHeight="true" outlineLevel="0" collapsed="false">
      <c r="A12" s="27"/>
      <c r="B12" s="23" t="s">
        <v>30</v>
      </c>
      <c r="C12" s="21"/>
      <c r="D12" s="21"/>
      <c r="E12" s="21"/>
      <c r="F12" s="24" t="n">
        <v>30000</v>
      </c>
      <c r="G12" s="22" t="n">
        <f aca="false">SUM(C12:F12)</f>
        <v>30000</v>
      </c>
    </row>
    <row r="13" customFormat="false" ht="16.5" hidden="false" customHeight="true" outlineLevel="0" collapsed="false">
      <c r="A13" s="27"/>
      <c r="B13" s="23" t="s">
        <v>31</v>
      </c>
      <c r="C13" s="21"/>
      <c r="D13" s="21"/>
      <c r="E13" s="21"/>
      <c r="F13" s="21"/>
      <c r="G13" s="22" t="n">
        <f aca="false">SUM(C13:F13)</f>
        <v>0</v>
      </c>
    </row>
    <row r="14" customFormat="false" ht="17.25" hidden="false" customHeight="true" outlineLevel="0" collapsed="false">
      <c r="A14" s="27"/>
      <c r="B14" s="25" t="s">
        <v>32</v>
      </c>
      <c r="C14" s="26"/>
      <c r="D14" s="26"/>
      <c r="E14" s="9" t="n">
        <v>2000</v>
      </c>
      <c r="F14" s="9" t="n">
        <v>23000</v>
      </c>
      <c r="G14" s="10" t="n">
        <f aca="false">SUM(C14:F14)</f>
        <v>25000</v>
      </c>
    </row>
    <row r="15" customFormat="false" ht="17.25" hidden="false" customHeight="true" outlineLevel="0" collapsed="false">
      <c r="A15" s="27" t="s">
        <v>33</v>
      </c>
      <c r="B15" s="23" t="s">
        <v>34</v>
      </c>
      <c r="C15" s="21"/>
      <c r="D15" s="21"/>
      <c r="E15" s="21"/>
      <c r="F15" s="21"/>
      <c r="G15" s="22" t="n">
        <f aca="false">SUM(C15:F15)</f>
        <v>0</v>
      </c>
    </row>
    <row r="16" customFormat="false" ht="16.5" hidden="false" customHeight="true" outlineLevel="0" collapsed="false">
      <c r="A16" s="27"/>
      <c r="B16" s="20" t="s">
        <v>35</v>
      </c>
      <c r="C16" s="21"/>
      <c r="D16" s="21"/>
      <c r="E16" s="24" t="n">
        <v>10000</v>
      </c>
      <c r="F16" s="24" t="n">
        <v>2000</v>
      </c>
      <c r="G16" s="22" t="n">
        <f aca="false">SUM(C16:F16)</f>
        <v>12000</v>
      </c>
    </row>
    <row r="17" customFormat="false" ht="17.25" hidden="false" customHeight="true" outlineLevel="0" collapsed="false">
      <c r="A17" s="27"/>
      <c r="B17" s="20" t="s">
        <v>36</v>
      </c>
      <c r="C17" s="21"/>
      <c r="D17" s="21"/>
      <c r="E17" s="21"/>
      <c r="F17" s="21"/>
      <c r="G17" s="22" t="n">
        <f aca="false">SUM(C17:F17)</f>
        <v>0</v>
      </c>
    </row>
    <row r="18" customFormat="false" ht="16.5" hidden="false" customHeight="true" outlineLevel="0" collapsed="false">
      <c r="A18" s="27"/>
      <c r="B18" s="23" t="s">
        <v>37</v>
      </c>
      <c r="C18" s="21"/>
      <c r="D18" s="21"/>
      <c r="E18" s="24" t="n">
        <v>1000</v>
      </c>
      <c r="F18" s="24" t="n">
        <v>200</v>
      </c>
      <c r="G18" s="22" t="n">
        <f aca="false">SUM(C18:F18)</f>
        <v>1200</v>
      </c>
    </row>
    <row r="19" customFormat="false" ht="16.5" hidden="false" customHeight="true" outlineLevel="0" collapsed="false">
      <c r="A19" s="27"/>
      <c r="B19" s="23" t="s">
        <v>38</v>
      </c>
      <c r="C19" s="21"/>
      <c r="D19" s="21"/>
      <c r="E19" s="21"/>
      <c r="F19" s="21"/>
      <c r="G19" s="22" t="n">
        <f aca="false">SUM(C19:F19)</f>
        <v>0</v>
      </c>
    </row>
    <row r="20" customFormat="false" ht="16.5" hidden="false" customHeight="true" outlineLevel="0" collapsed="false">
      <c r="A20" s="27"/>
      <c r="B20" s="23" t="s">
        <v>39</v>
      </c>
      <c r="C20" s="28"/>
      <c r="D20" s="28"/>
      <c r="E20" s="28"/>
      <c r="F20" s="28"/>
      <c r="G20" s="22" t="n">
        <f aca="false">SUM(C20:F20)</f>
        <v>0</v>
      </c>
    </row>
    <row r="21" customFormat="false" ht="16.5" hidden="false" customHeight="true" outlineLevel="0" collapsed="false">
      <c r="A21" s="27"/>
      <c r="B21" s="23" t="s">
        <v>40</v>
      </c>
      <c r="C21" s="21"/>
      <c r="D21" s="21"/>
      <c r="E21" s="21"/>
      <c r="F21" s="21"/>
      <c r="G21" s="22" t="n">
        <f aca="false">SUM(C21:F21)</f>
        <v>0</v>
      </c>
    </row>
    <row r="22" customFormat="false" ht="16.5" hidden="false" customHeight="true" outlineLevel="0" collapsed="false">
      <c r="A22" s="27"/>
      <c r="B22" s="23" t="s">
        <v>41</v>
      </c>
      <c r="C22" s="28"/>
      <c r="D22" s="28"/>
      <c r="E22" s="28"/>
      <c r="F22" s="28"/>
      <c r="G22" s="22" t="n">
        <f aca="false">IF(COUNT(C22:F22)=0,0,MAX(C22:F22))</f>
        <v>0</v>
      </c>
    </row>
    <row r="23" customFormat="false" ht="16.5" hidden="false" customHeight="true" outlineLevel="0" collapsed="false">
      <c r="A23" s="27"/>
      <c r="B23" s="23" t="s">
        <v>42</v>
      </c>
      <c r="C23" s="28"/>
      <c r="D23" s="28"/>
      <c r="E23" s="28"/>
      <c r="F23" s="28"/>
      <c r="G23" s="22" t="n">
        <f aca="false">SUM(C23:F23)</f>
        <v>0</v>
      </c>
    </row>
    <row r="24" customFormat="false" ht="16.5" hidden="false" customHeight="true" outlineLevel="0" collapsed="false">
      <c r="A24" s="27"/>
      <c r="B24" s="23" t="s">
        <v>43</v>
      </c>
      <c r="C24" s="28"/>
      <c r="D24" s="28"/>
      <c r="E24" s="28"/>
      <c r="F24" s="28"/>
      <c r="G24" s="22" t="n">
        <f aca="false">SUM(C24:F24)</f>
        <v>0</v>
      </c>
    </row>
    <row r="25" customFormat="false" ht="16.5" hidden="false" customHeight="true" outlineLevel="0" collapsed="false">
      <c r="A25" s="27"/>
      <c r="B25" s="23" t="s">
        <v>44</v>
      </c>
      <c r="C25" s="28"/>
      <c r="D25" s="28"/>
      <c r="E25" s="28"/>
      <c r="F25" s="28"/>
      <c r="G25" s="22" t="n">
        <f aca="false">SUM(C25:F25)</f>
        <v>0</v>
      </c>
    </row>
    <row r="26" customFormat="false" ht="16.5" hidden="false" customHeight="true" outlineLevel="0" collapsed="false">
      <c r="A26" s="27"/>
      <c r="B26" s="23" t="s">
        <v>45</v>
      </c>
      <c r="C26" s="28"/>
      <c r="D26" s="28"/>
      <c r="E26" s="28"/>
      <c r="F26" s="28"/>
      <c r="G26" s="22" t="n">
        <f aca="false">SUM(C26:F26)</f>
        <v>0</v>
      </c>
    </row>
    <row r="27" customFormat="false" ht="16.5" hidden="false" customHeight="true" outlineLevel="0" collapsed="false">
      <c r="A27" s="27"/>
      <c r="B27" s="23" t="s">
        <v>46</v>
      </c>
      <c r="C27" s="21"/>
      <c r="D27" s="21"/>
      <c r="E27" s="24" t="n">
        <v>300</v>
      </c>
      <c r="F27" s="24" t="n">
        <v>400</v>
      </c>
      <c r="G27" s="22" t="n">
        <f aca="false">SUM(C27:F27)</f>
        <v>700</v>
      </c>
    </row>
    <row r="28" customFormat="false" ht="17.25" hidden="false" customHeight="true" outlineLevel="0" collapsed="false">
      <c r="A28" s="27"/>
      <c r="B28" s="23" t="s">
        <v>47</v>
      </c>
      <c r="C28" s="21"/>
      <c r="D28" s="21"/>
      <c r="E28" s="24" t="n">
        <v>10</v>
      </c>
      <c r="F28" s="24" t="n">
        <v>5</v>
      </c>
      <c r="G28" s="22" t="n">
        <f aca="false">SUM(C28:F28)</f>
        <v>15</v>
      </c>
    </row>
    <row r="29" customFormat="false" ht="17.25" hidden="false" customHeight="true" outlineLevel="0" collapsed="false">
      <c r="A29" s="27"/>
      <c r="B29" s="25" t="s">
        <v>48</v>
      </c>
      <c r="C29" s="26"/>
      <c r="D29" s="26"/>
      <c r="E29" s="9" t="n">
        <v>200</v>
      </c>
      <c r="F29" s="9" t="n">
        <v>100</v>
      </c>
      <c r="G29" s="10" t="n">
        <f aca="false">SUM(C29:F29)</f>
        <v>300</v>
      </c>
    </row>
    <row r="30" customFormat="false" ht="16.5" hidden="false" customHeight="true" outlineLevel="0" collapsed="false">
      <c r="A30" s="27" t="s">
        <v>49</v>
      </c>
      <c r="B30" s="23" t="s">
        <v>50</v>
      </c>
      <c r="C30" s="21"/>
      <c r="D30" s="21"/>
      <c r="E30" s="21"/>
      <c r="F30" s="21"/>
      <c r="G30" s="22" t="n">
        <f aca="false">SUM(C30:F30)</f>
        <v>0</v>
      </c>
    </row>
    <row r="31" customFormat="false" ht="17.25" hidden="false" customHeight="true" outlineLevel="0" collapsed="false">
      <c r="A31" s="27"/>
      <c r="B31" s="20" t="s">
        <v>51</v>
      </c>
      <c r="C31" s="21"/>
      <c r="D31" s="21"/>
      <c r="E31" s="21"/>
      <c r="F31" s="29" t="n">
        <v>2000</v>
      </c>
      <c r="G31" s="22" t="n">
        <f aca="false">SUM(C31:F31)</f>
        <v>2000</v>
      </c>
    </row>
    <row r="32" customFormat="false" ht="16.5" hidden="false" customHeight="true" outlineLevel="0" collapsed="false">
      <c r="A32" s="27"/>
      <c r="B32" s="20" t="s">
        <v>52</v>
      </c>
      <c r="C32" s="21"/>
      <c r="D32" s="21"/>
      <c r="E32" s="21"/>
      <c r="F32" s="21"/>
      <c r="G32" s="22" t="n">
        <f aca="false">SUM(C32:F32)</f>
        <v>0</v>
      </c>
    </row>
    <row r="33" customFormat="false" ht="16.5" hidden="false" customHeight="true" outlineLevel="0" collapsed="false">
      <c r="A33" s="27"/>
      <c r="B33" s="23" t="s">
        <v>53</v>
      </c>
      <c r="C33" s="21"/>
      <c r="D33" s="21"/>
      <c r="E33" s="24" t="n">
        <v>3000</v>
      </c>
      <c r="F33" s="21"/>
      <c r="G33" s="22" t="n">
        <f aca="false">SUM(C33:F33)</f>
        <v>3000</v>
      </c>
    </row>
    <row r="34" customFormat="false" ht="16.5" hidden="false" customHeight="true" outlineLevel="0" collapsed="false">
      <c r="A34" s="27"/>
      <c r="B34" s="23" t="s">
        <v>54</v>
      </c>
      <c r="C34" s="21"/>
      <c r="D34" s="21"/>
      <c r="E34" s="21"/>
      <c r="F34" s="21"/>
      <c r="G34" s="22" t="n">
        <f aca="false">SUM(C34:F34)</f>
        <v>0</v>
      </c>
    </row>
    <row r="35" customFormat="false" ht="16.5" hidden="false" customHeight="true" outlineLevel="0" collapsed="false">
      <c r="A35" s="27"/>
      <c r="B35" s="23" t="s">
        <v>55</v>
      </c>
      <c r="C35" s="21"/>
      <c r="D35" s="21"/>
      <c r="E35" s="21"/>
      <c r="F35" s="21"/>
      <c r="G35" s="22" t="n">
        <f aca="false">SUM(C35:F35)</f>
        <v>0</v>
      </c>
    </row>
    <row r="36" customFormat="false" ht="16.5" hidden="false" customHeight="true" outlineLevel="0" collapsed="false">
      <c r="A36" s="27"/>
      <c r="B36" s="23" t="s">
        <v>56</v>
      </c>
      <c r="C36" s="21"/>
      <c r="D36" s="21"/>
      <c r="E36" s="21"/>
      <c r="F36" s="21"/>
      <c r="G36" s="22" t="n">
        <f aca="false">SUM(C36:F36)</f>
        <v>0</v>
      </c>
    </row>
    <row r="37" customFormat="false" ht="16.5" hidden="false" customHeight="true" outlineLevel="0" collapsed="false">
      <c r="A37" s="27"/>
      <c r="B37" s="25" t="s">
        <v>57</v>
      </c>
      <c r="C37" s="26"/>
      <c r="D37" s="26"/>
      <c r="E37" s="26"/>
      <c r="F37" s="26"/>
      <c r="G37" s="10" t="n">
        <f aca="false">SUM(C37:F37)</f>
        <v>0</v>
      </c>
    </row>
    <row r="38" customFormat="false" ht="16.5" hidden="false" customHeight="true" outlineLevel="0" collapsed="false">
      <c r="A38" s="27" t="s">
        <v>58</v>
      </c>
      <c r="B38" s="23" t="s">
        <v>59</v>
      </c>
      <c r="C38" s="21"/>
      <c r="D38" s="21"/>
      <c r="E38" s="21"/>
      <c r="F38" s="21"/>
      <c r="G38" s="22" t="n">
        <f aca="false">SUM(C38:F38)</f>
        <v>0</v>
      </c>
    </row>
    <row r="39" customFormat="false" ht="16.5" hidden="false" customHeight="true" outlineLevel="0" collapsed="false">
      <c r="A39" s="27"/>
      <c r="B39" s="23" t="s">
        <v>60</v>
      </c>
      <c r="C39" s="21"/>
      <c r="D39" s="21"/>
      <c r="E39" s="21"/>
      <c r="F39" s="21"/>
      <c r="G39" s="22" t="n">
        <f aca="false">SUM(C39:F39)</f>
        <v>0</v>
      </c>
    </row>
    <row r="40" customFormat="false" ht="16.5" hidden="false" customHeight="true" outlineLevel="0" collapsed="false">
      <c r="A40" s="27"/>
      <c r="B40" s="23" t="s">
        <v>61</v>
      </c>
      <c r="C40" s="21"/>
      <c r="D40" s="21"/>
      <c r="E40" s="21"/>
      <c r="F40" s="21"/>
      <c r="G40" s="22" t="n">
        <f aca="false">SUM(C40:F40)</f>
        <v>0</v>
      </c>
    </row>
    <row r="41" customFormat="false" ht="17.25" hidden="false" customHeight="true" outlineLevel="0" collapsed="false">
      <c r="A41" s="27"/>
      <c r="B41" s="23" t="s">
        <v>62</v>
      </c>
      <c r="C41" s="21"/>
      <c r="D41" s="21"/>
      <c r="E41" s="21"/>
      <c r="F41" s="21"/>
      <c r="G41" s="22" t="n">
        <f aca="false">SUM(C41:F41)</f>
        <v>0</v>
      </c>
    </row>
    <row r="42" customFormat="false" ht="16.5" hidden="false" customHeight="true" outlineLevel="0" collapsed="false">
      <c r="A42" s="27"/>
      <c r="B42" s="23" t="s">
        <v>63</v>
      </c>
      <c r="C42" s="21"/>
      <c r="D42" s="21"/>
      <c r="E42" s="21"/>
      <c r="F42" s="21"/>
      <c r="G42" s="22" t="n">
        <f aca="false">SUM(C42:F42)</f>
        <v>0</v>
      </c>
    </row>
    <row r="43" customFormat="false" ht="16.5" hidden="false" customHeight="true" outlineLevel="0" collapsed="false">
      <c r="A43" s="27"/>
      <c r="B43" s="23" t="s">
        <v>64</v>
      </c>
      <c r="C43" s="30"/>
      <c r="D43" s="30"/>
      <c r="E43" s="30"/>
      <c r="F43" s="30"/>
      <c r="G43" s="31" t="n">
        <f aca="false">SUM(C43:F43)</f>
        <v>0</v>
      </c>
    </row>
    <row r="44" customFormat="false" ht="17.25" hidden="false" customHeight="true" outlineLevel="0" collapsed="false">
      <c r="A44" s="27"/>
      <c r="B44" s="23" t="s">
        <v>65</v>
      </c>
      <c r="C44" s="30"/>
      <c r="D44" s="30"/>
      <c r="E44" s="30"/>
      <c r="F44" s="30"/>
      <c r="G44" s="31" t="n">
        <f aca="false">SUM(C44:F44)</f>
        <v>0</v>
      </c>
    </row>
    <row r="45" customFormat="false" ht="17.25" hidden="false" customHeight="true" outlineLevel="0" collapsed="false">
      <c r="A45" s="27"/>
      <c r="B45" s="23" t="s">
        <v>66</v>
      </c>
      <c r="C45" s="21"/>
      <c r="D45" s="21"/>
      <c r="E45" s="21"/>
      <c r="F45" s="21"/>
      <c r="G45" s="22" t="n">
        <f aca="false">SUM(C45:F45)</f>
        <v>0</v>
      </c>
    </row>
    <row r="46" customFormat="false" ht="16.5" hidden="false" customHeight="true" outlineLevel="0" collapsed="false">
      <c r="A46" s="27"/>
      <c r="B46" s="32" t="s">
        <v>67</v>
      </c>
      <c r="C46" s="21"/>
      <c r="D46" s="21"/>
      <c r="E46" s="21"/>
      <c r="F46" s="21"/>
      <c r="G46" s="22" t="n">
        <f aca="false">SUM(C46:F46)</f>
        <v>0</v>
      </c>
    </row>
    <row r="47" customFormat="false" ht="16.5" hidden="false" customHeight="true" outlineLevel="0" collapsed="false">
      <c r="A47" s="27"/>
      <c r="B47" s="33" t="s">
        <v>68</v>
      </c>
      <c r="C47" s="21"/>
      <c r="D47" s="21"/>
      <c r="E47" s="21"/>
      <c r="F47" s="21"/>
      <c r="G47" s="22" t="n">
        <f aca="false">SUM(C47:F47)</f>
        <v>0</v>
      </c>
    </row>
    <row r="48" customFormat="false" ht="16.5" hidden="false" customHeight="true" outlineLevel="0" collapsed="false">
      <c r="A48" s="27"/>
      <c r="B48" s="20" t="s">
        <v>69</v>
      </c>
      <c r="C48" s="21"/>
      <c r="D48" s="21"/>
      <c r="E48" s="24" t="n">
        <v>3000</v>
      </c>
      <c r="F48" s="24" t="n">
        <v>1000</v>
      </c>
      <c r="G48" s="22" t="n">
        <f aca="false">SUM(C48:F48)</f>
        <v>4000</v>
      </c>
    </row>
    <row r="49" customFormat="false" ht="16.5" hidden="false" customHeight="true" outlineLevel="0" collapsed="false">
      <c r="A49" s="27"/>
      <c r="B49" s="20" t="s">
        <v>70</v>
      </c>
      <c r="C49" s="21"/>
      <c r="D49" s="21"/>
      <c r="E49" s="21"/>
      <c r="F49" s="21"/>
      <c r="G49" s="22" t="n">
        <f aca="false">SUM(C49:F49)</f>
        <v>0</v>
      </c>
    </row>
    <row r="50" customFormat="false" ht="16.5" hidden="false" customHeight="true" outlineLevel="0" collapsed="false">
      <c r="A50" s="27"/>
      <c r="B50" s="25" t="s">
        <v>57</v>
      </c>
      <c r="C50" s="26"/>
      <c r="D50" s="26"/>
      <c r="E50" s="26"/>
      <c r="F50" s="26"/>
      <c r="G50" s="10" t="n">
        <f aca="false">SUM(C50:F50)</f>
        <v>0</v>
      </c>
    </row>
    <row r="51" customFormat="false" ht="16.5" hidden="false" customHeight="true" outlineLevel="0" collapsed="false">
      <c r="A51" s="27" t="s">
        <v>71</v>
      </c>
      <c r="B51" s="23" t="s">
        <v>72</v>
      </c>
      <c r="C51" s="21"/>
      <c r="D51" s="21"/>
      <c r="E51" s="21"/>
      <c r="F51" s="29" t="n">
        <v>2</v>
      </c>
      <c r="G51" s="22" t="n">
        <f aca="false">SUM(C51:F51)</f>
        <v>2</v>
      </c>
    </row>
    <row r="52" customFormat="false" ht="16.5" hidden="false" customHeight="true" outlineLevel="0" collapsed="false">
      <c r="A52" s="27"/>
      <c r="B52" s="23" t="s">
        <v>73</v>
      </c>
      <c r="C52" s="21"/>
      <c r="D52" s="21"/>
      <c r="E52" s="21"/>
      <c r="F52" s="21"/>
      <c r="G52" s="22" t="n">
        <f aca="false">SUM(C52:F52)</f>
        <v>0</v>
      </c>
    </row>
    <row r="53" customFormat="false" ht="16.5" hidden="false" customHeight="true" outlineLevel="0" collapsed="false">
      <c r="A53" s="27"/>
      <c r="B53" s="23" t="s">
        <v>74</v>
      </c>
      <c r="C53" s="21"/>
      <c r="D53" s="21"/>
      <c r="E53" s="21"/>
      <c r="F53" s="21"/>
      <c r="G53" s="22" t="n">
        <f aca="false">SUM(C53:F53)</f>
        <v>0</v>
      </c>
    </row>
    <row r="54" customFormat="false" ht="16.5" hidden="false" customHeight="true" outlineLevel="0" collapsed="false">
      <c r="A54" s="27"/>
      <c r="B54" s="23" t="s">
        <v>75</v>
      </c>
      <c r="C54" s="21"/>
      <c r="D54" s="21"/>
      <c r="E54" s="21"/>
      <c r="F54" s="29" t="n">
        <v>2</v>
      </c>
      <c r="G54" s="22" t="n">
        <f aca="false">SUM(C54:F54)</f>
        <v>2</v>
      </c>
    </row>
    <row r="55" customFormat="false" ht="16.5" hidden="false" customHeight="true" outlineLevel="0" collapsed="false">
      <c r="A55" s="27"/>
      <c r="B55" s="23" t="s">
        <v>76</v>
      </c>
      <c r="C55" s="21"/>
      <c r="D55" s="21"/>
      <c r="E55" s="21"/>
      <c r="F55" s="21"/>
      <c r="G55" s="22" t="n">
        <f aca="false">SUM(C55:F55)</f>
        <v>0</v>
      </c>
    </row>
    <row r="56" customFormat="false" ht="16.5" hidden="false" customHeight="true" outlineLevel="0" collapsed="false">
      <c r="A56" s="27"/>
      <c r="B56" s="23" t="s">
        <v>77</v>
      </c>
      <c r="C56" s="21"/>
      <c r="D56" s="21"/>
      <c r="E56" s="21"/>
      <c r="F56" s="21"/>
      <c r="G56" s="22" t="n">
        <f aca="false">IF(COUNT(C56:F56)=0,0,MAX(C56:F56))</f>
        <v>0</v>
      </c>
    </row>
    <row r="57" customFormat="false" ht="16.5" hidden="false" customHeight="true" outlineLevel="0" collapsed="false">
      <c r="A57" s="27"/>
      <c r="B57" s="23" t="s">
        <v>78</v>
      </c>
      <c r="C57" s="21"/>
      <c r="D57" s="21"/>
      <c r="E57" s="21"/>
      <c r="F57" s="21"/>
      <c r="G57" s="22" t="n">
        <f aca="false">SUM(C57:F57)</f>
        <v>0</v>
      </c>
    </row>
    <row r="58" customFormat="false" ht="16.5" hidden="false" customHeight="true" outlineLevel="0" collapsed="false">
      <c r="A58" s="27"/>
      <c r="B58" s="23" t="s">
        <v>79</v>
      </c>
      <c r="C58" s="21"/>
      <c r="D58" s="21"/>
      <c r="E58" s="21"/>
      <c r="F58" s="21"/>
      <c r="G58" s="22" t="n">
        <f aca="false">IF(COUNT(C58:F58)=0,0,MAX(C58:F58))</f>
        <v>0</v>
      </c>
    </row>
    <row r="59" customFormat="false" ht="16.5" hidden="false" customHeight="true" outlineLevel="0" collapsed="false">
      <c r="A59" s="27"/>
      <c r="B59" s="32" t="s">
        <v>80</v>
      </c>
      <c r="C59" s="21"/>
      <c r="D59" s="21"/>
      <c r="E59" s="21"/>
      <c r="F59" s="21"/>
      <c r="G59" s="22" t="n">
        <f aca="false">SUM(C59:F59)</f>
        <v>0</v>
      </c>
    </row>
    <row r="60" customFormat="false" ht="16.5" hidden="false" customHeight="true" outlineLevel="0" collapsed="false">
      <c r="A60" s="27"/>
      <c r="B60" s="32" t="s">
        <v>81</v>
      </c>
      <c r="C60" s="21"/>
      <c r="D60" s="21"/>
      <c r="E60" s="21"/>
      <c r="F60" s="21"/>
      <c r="G60" s="22" t="n">
        <f aca="false">SUM(C60:F60)</f>
        <v>0</v>
      </c>
    </row>
    <row r="61" customFormat="false" ht="16.5" hidden="false" customHeight="true" outlineLevel="0" collapsed="false">
      <c r="A61" s="27"/>
      <c r="B61" s="23" t="s">
        <v>82</v>
      </c>
      <c r="C61" s="21"/>
      <c r="D61" s="21"/>
      <c r="E61" s="21"/>
      <c r="F61" s="21"/>
      <c r="G61" s="22" t="n">
        <f aca="false">SUM(C61:F61)</f>
        <v>0</v>
      </c>
    </row>
    <row r="62" customFormat="false" ht="17.25" hidden="false" customHeight="true" outlineLevel="0" collapsed="false">
      <c r="A62" s="27"/>
      <c r="B62" s="25" t="s">
        <v>83</v>
      </c>
      <c r="C62" s="26"/>
      <c r="D62" s="26"/>
      <c r="E62" s="26"/>
      <c r="F62" s="26"/>
      <c r="G62" s="10" t="n">
        <f aca="false">SUM(C62:F62)</f>
        <v>0</v>
      </c>
    </row>
    <row r="63" customFormat="false" ht="17.25" hidden="false" customHeight="true" outlineLevel="0" collapsed="false">
      <c r="A63" s="27" t="s">
        <v>84</v>
      </c>
      <c r="B63" s="23" t="s">
        <v>85</v>
      </c>
      <c r="C63" s="21"/>
      <c r="D63" s="21"/>
      <c r="E63" s="21"/>
      <c r="F63" s="21"/>
      <c r="G63" s="22" t="n">
        <f aca="false">SUM(C63:F63)</f>
        <v>0</v>
      </c>
    </row>
    <row r="64" customFormat="false" ht="16.5" hidden="false" customHeight="true" outlineLevel="0" collapsed="false">
      <c r="A64" s="27"/>
      <c r="B64" s="23" t="s">
        <v>86</v>
      </c>
      <c r="C64" s="21"/>
      <c r="D64" s="21"/>
      <c r="E64" s="21"/>
      <c r="F64" s="21"/>
      <c r="G64" s="22" t="n">
        <f aca="false">SUM(C64:F64)</f>
        <v>0</v>
      </c>
    </row>
    <row r="65" customFormat="false" ht="16.5" hidden="false" customHeight="true" outlineLevel="0" collapsed="false">
      <c r="A65" s="27"/>
      <c r="B65" s="23" t="s">
        <v>87</v>
      </c>
      <c r="C65" s="21"/>
      <c r="D65" s="21"/>
      <c r="E65" s="21"/>
      <c r="F65" s="28"/>
      <c r="G65" s="22" t="n">
        <f aca="false">SUM(C65:F65)</f>
        <v>0</v>
      </c>
    </row>
    <row r="66" customFormat="false" ht="16.5" hidden="false" customHeight="true" outlineLevel="0" collapsed="false">
      <c r="A66" s="27"/>
      <c r="B66" s="23" t="s">
        <v>88</v>
      </c>
      <c r="C66" s="21"/>
      <c r="D66" s="21"/>
      <c r="E66" s="21"/>
      <c r="F66" s="28"/>
      <c r="G66" s="22" t="n">
        <f aca="false">SUM(C66:F66)</f>
        <v>0</v>
      </c>
    </row>
    <row r="67" customFormat="false" ht="16.5" hidden="false" customHeight="true" outlineLevel="0" collapsed="false">
      <c r="A67" s="27"/>
      <c r="B67" s="23" t="s">
        <v>89</v>
      </c>
      <c r="C67" s="21"/>
      <c r="D67" s="21"/>
      <c r="E67" s="21"/>
      <c r="F67" s="21"/>
      <c r="G67" s="22" t="n">
        <f aca="false">SUM(C67:F67)</f>
        <v>0</v>
      </c>
    </row>
    <row r="68" customFormat="false" ht="17.25" hidden="false" customHeight="true" outlineLevel="0" collapsed="false">
      <c r="A68" s="27"/>
      <c r="B68" s="23" t="s">
        <v>90</v>
      </c>
      <c r="C68" s="21"/>
      <c r="D68" s="21"/>
      <c r="E68" s="21"/>
      <c r="F68" s="21"/>
      <c r="G68" s="22" t="n">
        <f aca="false">SUM(C68:F68)</f>
        <v>0</v>
      </c>
    </row>
    <row r="69" customFormat="false" ht="16.5" hidden="false" customHeight="true" outlineLevel="0" collapsed="false">
      <c r="A69" s="27"/>
      <c r="B69" s="32" t="s">
        <v>91</v>
      </c>
      <c r="C69" s="21"/>
      <c r="D69" s="21"/>
      <c r="E69" s="21"/>
      <c r="F69" s="21"/>
      <c r="G69" s="22" t="n">
        <f aca="false">SUM(C69:F69)</f>
        <v>0</v>
      </c>
    </row>
    <row r="70" customFormat="false" ht="16.5" hidden="false" customHeight="true" outlineLevel="0" collapsed="false">
      <c r="A70" s="27"/>
      <c r="B70" s="23" t="s">
        <v>92</v>
      </c>
      <c r="C70" s="21"/>
      <c r="D70" s="21"/>
      <c r="E70" s="21"/>
      <c r="F70" s="21"/>
      <c r="G70" s="22" t="n">
        <f aca="false">SUM(C70:F70)</f>
        <v>0</v>
      </c>
    </row>
    <row r="71" customFormat="false" ht="16.5" hidden="false" customHeight="true" outlineLevel="0" collapsed="false">
      <c r="A71" s="27"/>
      <c r="B71" s="34" t="s">
        <v>93</v>
      </c>
      <c r="C71" s="18"/>
      <c r="D71" s="18"/>
      <c r="E71" s="18"/>
      <c r="F71" s="18"/>
      <c r="G71" s="19" t="n">
        <f aca="false">SUM(C71:F71)</f>
        <v>0</v>
      </c>
    </row>
    <row r="72" customFormat="false" ht="16.5" hidden="false" customHeight="true" outlineLevel="0" collapsed="false">
      <c r="A72" s="27"/>
      <c r="B72" s="23" t="s">
        <v>94</v>
      </c>
      <c r="C72" s="21"/>
      <c r="D72" s="21"/>
      <c r="E72" s="21"/>
      <c r="F72" s="28"/>
      <c r="G72" s="22" t="n">
        <f aca="false">SUM(C72:F72)</f>
        <v>0</v>
      </c>
    </row>
    <row r="73" customFormat="false" ht="16.5" hidden="false" customHeight="true" outlineLevel="0" collapsed="false">
      <c r="A73" s="27"/>
      <c r="B73" s="23" t="s">
        <v>95</v>
      </c>
      <c r="C73" s="21"/>
      <c r="D73" s="21"/>
      <c r="E73" s="21"/>
      <c r="F73" s="28"/>
      <c r="G73" s="22" t="n">
        <f aca="false">SUM(C73:F73)</f>
        <v>0</v>
      </c>
    </row>
    <row r="74" customFormat="false" ht="16.5" hidden="false" customHeight="true" outlineLevel="0" collapsed="false">
      <c r="A74" s="27"/>
      <c r="B74" s="23" t="s">
        <v>96</v>
      </c>
      <c r="C74" s="21"/>
      <c r="D74" s="21"/>
      <c r="E74" s="21"/>
      <c r="F74" s="21"/>
      <c r="G74" s="22" t="n">
        <f aca="false">SUM(C74:F74)</f>
        <v>0</v>
      </c>
    </row>
    <row r="75" customFormat="false" ht="16.5" hidden="false" customHeight="true" outlineLevel="0" collapsed="false">
      <c r="A75" s="27"/>
      <c r="B75" s="23" t="s">
        <v>97</v>
      </c>
      <c r="C75" s="21"/>
      <c r="D75" s="21"/>
      <c r="E75" s="21"/>
      <c r="F75" s="21"/>
      <c r="G75" s="22" t="n">
        <f aca="false">SUM(C75:F75)</f>
        <v>0</v>
      </c>
    </row>
    <row r="76" customFormat="false" ht="17.25" hidden="false" customHeight="true" outlineLevel="0" collapsed="false">
      <c r="A76" s="27"/>
      <c r="B76" s="23" t="s">
        <v>98</v>
      </c>
      <c r="C76" s="21"/>
      <c r="D76" s="21"/>
      <c r="E76" s="21"/>
      <c r="F76" s="24" t="n">
        <v>1000</v>
      </c>
      <c r="G76" s="22" t="n">
        <f aca="false">SUM(C76:F76)</f>
        <v>1000</v>
      </c>
    </row>
    <row r="77" customFormat="false" ht="16.5" hidden="false" customHeight="true" outlineLevel="0" collapsed="false">
      <c r="A77" s="27"/>
      <c r="B77" s="32" t="s">
        <v>99</v>
      </c>
      <c r="C77" s="21"/>
      <c r="D77" s="21"/>
      <c r="E77" s="21"/>
      <c r="F77" s="21"/>
      <c r="G77" s="22" t="n">
        <f aca="false">SUM(C77:F77)</f>
        <v>0</v>
      </c>
    </row>
    <row r="78" customFormat="false" ht="16.5" hidden="false" customHeight="true" outlineLevel="0" collapsed="false">
      <c r="A78" s="27"/>
      <c r="B78" s="32" t="s">
        <v>100</v>
      </c>
      <c r="C78" s="21"/>
      <c r="D78" s="21"/>
      <c r="E78" s="21"/>
      <c r="F78" s="21"/>
      <c r="G78" s="22" t="n">
        <f aca="false">SUM(C78:F78)</f>
        <v>0</v>
      </c>
    </row>
    <row r="79" customFormat="false" ht="17.25" hidden="false" customHeight="true" outlineLevel="0" collapsed="false">
      <c r="A79" s="27"/>
      <c r="B79" s="35" t="s">
        <v>101</v>
      </c>
      <c r="C79" s="26"/>
      <c r="D79" s="26"/>
      <c r="E79" s="26"/>
      <c r="F79" s="26"/>
      <c r="G79" s="10" t="n">
        <f aca="false">SUM(C79:F79)</f>
        <v>0</v>
      </c>
    </row>
    <row r="80" customFormat="false" ht="17.25" hidden="false" customHeight="true" outlineLevel="0" collapsed="false">
      <c r="A80" s="27" t="s">
        <v>102</v>
      </c>
      <c r="B80" s="23" t="s">
        <v>103</v>
      </c>
      <c r="C80" s="21"/>
      <c r="D80" s="21"/>
      <c r="E80" s="21"/>
      <c r="F80" s="21"/>
      <c r="G80" s="22" t="n">
        <f aca="false">SUM(C80:F80)</f>
        <v>0</v>
      </c>
    </row>
    <row r="81" customFormat="false" ht="17.25" hidden="false" customHeight="true" outlineLevel="0" collapsed="false">
      <c r="A81" s="27"/>
      <c r="B81" s="23" t="s">
        <v>104</v>
      </c>
      <c r="C81" s="21"/>
      <c r="D81" s="21"/>
      <c r="E81" s="21"/>
      <c r="F81" s="21"/>
      <c r="G81" s="22" t="n">
        <f aca="false">SUM(C81:F81)</f>
        <v>0</v>
      </c>
    </row>
    <row r="82" customFormat="false" ht="16.5" hidden="false" customHeight="true" outlineLevel="0" collapsed="false">
      <c r="A82" s="27"/>
      <c r="B82" s="23" t="s">
        <v>105</v>
      </c>
      <c r="C82" s="21"/>
      <c r="D82" s="21"/>
      <c r="E82" s="21"/>
      <c r="F82" s="21"/>
      <c r="G82" s="22" t="n">
        <f aca="false">SUM(C82:F82)</f>
        <v>0</v>
      </c>
    </row>
    <row r="83" customFormat="false" ht="17.25" hidden="false" customHeight="true" outlineLevel="0" collapsed="false">
      <c r="A83" s="27"/>
      <c r="B83" s="32" t="s">
        <v>106</v>
      </c>
      <c r="C83" s="21"/>
      <c r="D83" s="21"/>
      <c r="E83" s="21"/>
      <c r="F83" s="21"/>
      <c r="G83" s="22" t="n">
        <f aca="false">SUM(C83:F83)</f>
        <v>0</v>
      </c>
    </row>
    <row r="84" customFormat="false" ht="16.5" hidden="false" customHeight="true" outlineLevel="0" collapsed="false">
      <c r="A84" s="27"/>
      <c r="B84" s="23" t="s">
        <v>107</v>
      </c>
      <c r="C84" s="21"/>
      <c r="D84" s="21"/>
      <c r="E84" s="21"/>
      <c r="F84" s="21"/>
      <c r="G84" s="22" t="n">
        <f aca="false">SUM(C84:F84)</f>
        <v>0</v>
      </c>
    </row>
    <row r="85" customFormat="false" ht="17.25" hidden="false" customHeight="true" outlineLevel="0" collapsed="false">
      <c r="A85" s="27"/>
      <c r="B85" s="25" t="s">
        <v>108</v>
      </c>
      <c r="C85" s="26"/>
      <c r="D85" s="26"/>
      <c r="E85" s="26"/>
      <c r="F85" s="9" t="n">
        <v>10</v>
      </c>
      <c r="G85" s="10" t="n">
        <f aca="false">MIN(SUM(C85:F85),80)</f>
        <v>10</v>
      </c>
    </row>
    <row r="86" customFormat="false" ht="16.5" hidden="false" customHeight="true" outlineLevel="0" collapsed="false">
      <c r="A86" s="27" t="s">
        <v>109</v>
      </c>
      <c r="B86" s="23" t="s">
        <v>110</v>
      </c>
      <c r="C86" s="21"/>
      <c r="D86" s="21"/>
      <c r="E86" s="21"/>
      <c r="F86" s="21"/>
      <c r="G86" s="22" t="n">
        <f aca="false">SUM(C86:F86)</f>
        <v>0</v>
      </c>
    </row>
    <row r="87" customFormat="false" ht="16.5" hidden="false" customHeight="true" outlineLevel="0" collapsed="false">
      <c r="A87" s="27"/>
      <c r="B87" s="23" t="s">
        <v>111</v>
      </c>
      <c r="C87" s="21"/>
      <c r="D87" s="21"/>
      <c r="E87" s="21"/>
      <c r="F87" s="29" t="n">
        <v>30</v>
      </c>
      <c r="G87" s="22" t="n">
        <f aca="false">SUM(C87:F87)</f>
        <v>30</v>
      </c>
    </row>
    <row r="88" customFormat="false" ht="17.25" hidden="false" customHeight="true" outlineLevel="0" collapsed="false">
      <c r="A88" s="27"/>
      <c r="B88" s="35" t="s">
        <v>112</v>
      </c>
      <c r="C88" s="26"/>
      <c r="D88" s="26"/>
      <c r="E88" s="26"/>
      <c r="F88" s="8" t="n">
        <v>20</v>
      </c>
      <c r="G88" s="10" t="n">
        <f aca="false">SUM(C88:F88)</f>
        <v>20</v>
      </c>
    </row>
    <row r="89" customFormat="false" ht="17.25" hidden="false" customHeight="true" outlineLevel="0" collapsed="false">
      <c r="A89" s="27" t="s">
        <v>113</v>
      </c>
      <c r="B89" s="25" t="s">
        <v>114</v>
      </c>
      <c r="C89" s="26"/>
      <c r="D89" s="26"/>
      <c r="E89" s="26"/>
      <c r="F89" s="26"/>
      <c r="G89" s="10" t="n">
        <f aca="false">SUM(C89:F89)</f>
        <v>0</v>
      </c>
    </row>
    <row r="90" customFormat="false" ht="17.25" hidden="false" customHeight="false" outlineLevel="0" collapsed="false">
      <c r="A90" s="27" t="s">
        <v>115</v>
      </c>
      <c r="B90" s="25" t="s">
        <v>115</v>
      </c>
      <c r="C90" s="26"/>
      <c r="D90" s="26"/>
      <c r="E90" s="26"/>
      <c r="F90" s="26"/>
      <c r="G90" s="10" t="n">
        <f aca="false">SUM(C90:F90)</f>
        <v>0</v>
      </c>
    </row>
    <row r="91" customFormat="false" ht="17.25" hidden="false" customHeight="false" outlineLevel="0" collapsed="false">
      <c r="A91" s="27" t="s">
        <v>116</v>
      </c>
      <c r="B91" s="23" t="s">
        <v>117</v>
      </c>
      <c r="C91" s="21"/>
      <c r="D91" s="21"/>
      <c r="E91" s="21"/>
      <c r="F91" s="29" t="n">
        <v>30</v>
      </c>
      <c r="G91" s="22" t="n">
        <f aca="false">SUM(C91:F91)</f>
        <v>30</v>
      </c>
    </row>
    <row r="92" customFormat="false" ht="17.25" hidden="false" customHeight="false" outlineLevel="0" collapsed="false">
      <c r="A92" s="27"/>
      <c r="B92" s="25" t="s">
        <v>118</v>
      </c>
      <c r="C92" s="26"/>
      <c r="D92" s="26"/>
      <c r="E92" s="26"/>
      <c r="F92" s="9" t="n">
        <v>1000</v>
      </c>
      <c r="G92" s="10" t="n">
        <f aca="false">SUM(C92:F92)</f>
        <v>1000</v>
      </c>
    </row>
    <row r="93" customFormat="false" ht="17.25" hidden="false" customHeight="false" outlineLevel="0" collapsed="false">
      <c r="A93" s="27" t="s">
        <v>119</v>
      </c>
      <c r="B93" s="23" t="s">
        <v>120</v>
      </c>
      <c r="C93" s="21"/>
      <c r="D93" s="21"/>
      <c r="E93" s="21"/>
      <c r="F93" s="21"/>
      <c r="G93" s="22" t="n">
        <f aca="false">SUM(C93:F93)</f>
        <v>0</v>
      </c>
    </row>
    <row r="94" customFormat="false" ht="17.25" hidden="false" customHeight="false" outlineLevel="0" collapsed="false">
      <c r="A94" s="27"/>
      <c r="B94" s="25" t="s">
        <v>121</v>
      </c>
      <c r="C94" s="26"/>
      <c r="D94" s="26"/>
      <c r="E94" s="26"/>
      <c r="F94" s="8" t="n">
        <v>5</v>
      </c>
      <c r="G94" s="10" t="n">
        <f aca="false">SUM(C94:F94)</f>
        <v>5</v>
      </c>
    </row>
    <row r="95" customFormat="false" ht="17.25" hidden="false" customHeight="false" outlineLevel="0" collapsed="false">
      <c r="A95" s="27" t="s">
        <v>122</v>
      </c>
      <c r="B95" s="23" t="s">
        <v>123</v>
      </c>
      <c r="C95" s="28"/>
      <c r="D95" s="28"/>
      <c r="E95" s="28"/>
      <c r="F95" s="29" t="n">
        <v>5000</v>
      </c>
      <c r="G95" s="22" t="n">
        <f aca="false">MIN(SUM(C95:F95),5000)</f>
        <v>5000</v>
      </c>
    </row>
    <row r="96" customFormat="false" ht="17.25" hidden="false" customHeight="false" outlineLevel="0" collapsed="false">
      <c r="A96" s="27"/>
      <c r="B96" s="23" t="s">
        <v>124</v>
      </c>
      <c r="C96" s="28"/>
      <c r="D96" s="28"/>
      <c r="E96" s="28"/>
      <c r="F96" s="29" t="n">
        <v>25</v>
      </c>
      <c r="G96" s="22" t="n">
        <f aca="false">SUM(C96:F96)</f>
        <v>25</v>
      </c>
    </row>
    <row r="97" customFormat="false" ht="17.25" hidden="false" customHeight="false" outlineLevel="0" collapsed="false">
      <c r="A97" s="27"/>
      <c r="B97" s="23" t="s">
        <v>125</v>
      </c>
      <c r="C97" s="21"/>
      <c r="D97" s="21"/>
      <c r="E97" s="21"/>
      <c r="F97" s="29" t="n">
        <v>5</v>
      </c>
      <c r="G97" s="22" t="n">
        <f aca="false">SUM(C97:F97)</f>
        <v>5</v>
      </c>
    </row>
    <row r="98" customFormat="false" ht="17.25" hidden="false" customHeight="false" outlineLevel="0" collapsed="false">
      <c r="A98" s="27"/>
      <c r="B98" s="25" t="s">
        <v>126</v>
      </c>
      <c r="C98" s="26"/>
      <c r="D98" s="26"/>
      <c r="E98" s="26"/>
      <c r="F98" s="26"/>
      <c r="G98" s="10" t="n">
        <f aca="false">SUM(C98:F98)</f>
        <v>0</v>
      </c>
    </row>
    <row r="99" customFormat="false" ht="17.25" hidden="false" customHeight="false" outlineLevel="0" collapsed="false">
      <c r="A99" s="27" t="s">
        <v>127</v>
      </c>
      <c r="B99" s="25" t="s">
        <v>128</v>
      </c>
      <c r="C99" s="36"/>
      <c r="D99" s="36"/>
      <c r="E99" s="36"/>
      <c r="F99" s="36"/>
      <c r="G99" s="10" t="n">
        <f aca="false">SUM(C99:F99)</f>
        <v>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50"/>
    <mergeCell ref="A51:A62"/>
    <mergeCell ref="A63:A79"/>
    <mergeCell ref="A80:A85"/>
    <mergeCell ref="A86:A88"/>
    <mergeCell ref="A91:A92"/>
    <mergeCell ref="A93:A94"/>
    <mergeCell ref="A95:A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37" t="s">
        <v>129</v>
      </c>
    </row>
    <row r="3" customFormat="false" ht="16.5" hidden="false" customHeight="true" outlineLevel="0" collapsed="false">
      <c r="A3" s="38" t="s">
        <v>130</v>
      </c>
      <c r="B3" s="39" t="s">
        <v>131</v>
      </c>
    </row>
    <row r="4" customFormat="false" ht="16.5" hidden="false" customHeight="true" outlineLevel="0" collapsed="false">
      <c r="A4" s="38" t="s">
        <v>132</v>
      </c>
      <c r="B4" s="39" t="s">
        <v>133</v>
      </c>
    </row>
    <row r="5" customFormat="false" ht="16.5" hidden="false" customHeight="true" outlineLevel="0" collapsed="false">
      <c r="A5" s="38" t="s">
        <v>134</v>
      </c>
      <c r="B5" s="39" t="s">
        <v>135</v>
      </c>
    </row>
    <row r="6" customFormat="false" ht="16.5" hidden="false" customHeight="true" outlineLevel="0" collapsed="false">
      <c r="A6" s="38" t="s">
        <v>136</v>
      </c>
      <c r="B6" s="39" t="s">
        <v>137</v>
      </c>
    </row>
    <row r="7" customFormat="false" ht="16.5" hidden="false" customHeight="true" outlineLevel="0" collapsed="false">
      <c r="A7" s="38" t="s">
        <v>138</v>
      </c>
      <c r="B7" s="39" t="s">
        <v>139</v>
      </c>
    </row>
    <row r="8" customFormat="false" ht="16.5" hidden="false" customHeight="true" outlineLevel="0" collapsed="false">
      <c r="A8" s="38" t="s">
        <v>140</v>
      </c>
      <c r="B8" s="40" t="s">
        <v>141</v>
      </c>
    </row>
    <row r="9" customFormat="false" ht="16.5" hidden="false" customHeight="true" outlineLevel="0" collapsed="false">
      <c r="A9" s="38" t="s">
        <v>142</v>
      </c>
      <c r="B9" s="39" t="s">
        <v>143</v>
      </c>
    </row>
    <row r="10" customFormat="false" ht="16.5" hidden="false" customHeight="true" outlineLevel="0" collapsed="false">
      <c r="A10" s="38" t="s">
        <v>144</v>
      </c>
      <c r="B10" s="39" t="s">
        <v>145</v>
      </c>
    </row>
    <row r="11" customFormat="false" ht="16.5" hidden="false" customHeight="true" outlineLevel="0" collapsed="false">
      <c r="A11" s="38" t="s">
        <v>146</v>
      </c>
      <c r="B11" s="39" t="s">
        <v>147</v>
      </c>
    </row>
    <row r="12" customFormat="false" ht="16.5" hidden="false" customHeight="true" outlineLevel="0" collapsed="false">
      <c r="A12" s="38" t="s">
        <v>148</v>
      </c>
      <c r="B12" s="40" t="s">
        <v>149</v>
      </c>
    </row>
    <row r="13" customFormat="false" ht="16.5" hidden="false" customHeight="true" outlineLevel="0" collapsed="false">
      <c r="A13" s="38" t="s">
        <v>150</v>
      </c>
      <c r="B13" s="39" t="s">
        <v>151</v>
      </c>
    </row>
    <row r="14" customFormat="false" ht="16.5" hidden="false" customHeight="true" outlineLevel="0" collapsed="false">
      <c r="A14" s="38" t="s">
        <v>152</v>
      </c>
      <c r="B14" s="39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1" t="s">
        <v>154</v>
      </c>
    </row>
    <row r="3" customFormat="false" ht="15" hidden="false" customHeight="false" outlineLevel="0" collapsed="false">
      <c r="A3" s="41" t="s">
        <v>155</v>
      </c>
      <c r="B3" s="1" t="n">
        <v>4</v>
      </c>
    </row>
    <row r="4" customFormat="false" ht="17.15" hidden="false" customHeight="false" outlineLevel="0" collapsed="false">
      <c r="A4" s="41" t="s">
        <v>156</v>
      </c>
      <c r="B4" s="1" t="s">
        <v>157</v>
      </c>
    </row>
    <row r="6" customFormat="false" ht="17.15" hidden="false" customHeight="false" outlineLevel="0" collapsed="false">
      <c r="A6" s="0" t="s">
        <v>158</v>
      </c>
    </row>
    <row r="7" customFormat="false" ht="17.15" hidden="false" customHeight="false" outlineLevel="0" collapsed="false">
      <c r="A7" s="41" t="s">
        <v>159</v>
      </c>
      <c r="B7" s="42" t="s">
        <v>160</v>
      </c>
      <c r="C7" s="41" t="s">
        <v>161</v>
      </c>
      <c r="D7" s="42" t="s">
        <v>162</v>
      </c>
      <c r="E7" s="42" t="s">
        <v>163</v>
      </c>
    </row>
    <row r="8" customFormat="false" ht="17.15" hidden="false" customHeight="false" outlineLevel="0" collapsed="false">
      <c r="A8" s="41" t="s">
        <v>164</v>
      </c>
      <c r="B8" s="42" t="s">
        <v>165</v>
      </c>
      <c r="C8" s="0" t="n">
        <v>130</v>
      </c>
      <c r="E8" s="1" t="s">
        <v>166</v>
      </c>
    </row>
    <row r="9" customFormat="false" ht="17.15" hidden="false" customHeight="false" outlineLevel="0" collapsed="false">
      <c r="A9" s="41" t="s">
        <v>167</v>
      </c>
      <c r="B9" s="42" t="s">
        <v>168</v>
      </c>
      <c r="C9" s="0" t="n">
        <v>21</v>
      </c>
      <c r="E9" s="1" t="s">
        <v>169</v>
      </c>
    </row>
    <row r="10" customFormat="false" ht="17.15" hidden="false" customHeight="false" outlineLevel="0" collapsed="false">
      <c r="A10" s="41" t="s">
        <v>167</v>
      </c>
      <c r="B10" s="42" t="s">
        <v>170</v>
      </c>
      <c r="C10" s="0" t="n">
        <v>2</v>
      </c>
      <c r="E10" s="1" t="s">
        <v>171</v>
      </c>
    </row>
    <row r="11" customFormat="false" ht="17.15" hidden="false" customHeight="false" outlineLevel="0" collapsed="false">
      <c r="A11" s="41" t="s">
        <v>167</v>
      </c>
      <c r="B11" s="42" t="s">
        <v>172</v>
      </c>
      <c r="C11" s="0" t="n">
        <v>20</v>
      </c>
      <c r="E11" s="1" t="s">
        <v>173</v>
      </c>
    </row>
    <row r="12" customFormat="false" ht="17.15" hidden="false" customHeight="false" outlineLevel="0" collapsed="false">
      <c r="A12" s="41" t="s">
        <v>167</v>
      </c>
      <c r="B12" s="42" t="s">
        <v>174</v>
      </c>
      <c r="C12" s="0" t="n">
        <v>10</v>
      </c>
      <c r="E12" s="1" t="s">
        <v>175</v>
      </c>
    </row>
    <row r="13" customFormat="false" ht="17.15" hidden="false" customHeight="false" outlineLevel="0" collapsed="false">
      <c r="A13" s="41" t="s">
        <v>167</v>
      </c>
      <c r="B13" s="42" t="s">
        <v>176</v>
      </c>
      <c r="C13" s="0" t="n">
        <v>15</v>
      </c>
      <c r="E13" s="1" t="s">
        <v>177</v>
      </c>
    </row>
    <row r="14" customFormat="false" ht="17.15" hidden="false" customHeight="false" outlineLevel="0" collapsed="false">
      <c r="A14" s="41" t="s">
        <v>167</v>
      </c>
      <c r="B14" s="42" t="s">
        <v>178</v>
      </c>
      <c r="C14" s="0" t="n">
        <v>30</v>
      </c>
      <c r="E14" s="1" t="s">
        <v>179</v>
      </c>
    </row>
    <row r="15" customFormat="false" ht="17.15" hidden="false" customHeight="false" outlineLevel="0" collapsed="false">
      <c r="A15" s="41" t="s">
        <v>167</v>
      </c>
      <c r="B15" s="42" t="s">
        <v>180</v>
      </c>
      <c r="C15" s="0" t="n">
        <v>100</v>
      </c>
      <c r="E15" s="1" t="s">
        <v>181</v>
      </c>
    </row>
    <row r="16" customFormat="false" ht="17.15" hidden="false" customHeight="false" outlineLevel="0" collapsed="false">
      <c r="A16" s="41" t="s">
        <v>167</v>
      </c>
      <c r="B16" s="42" t="s">
        <v>182</v>
      </c>
      <c r="C16" s="0" t="n">
        <v>50</v>
      </c>
      <c r="E16" s="1" t="s">
        <v>183</v>
      </c>
    </row>
    <row r="17" customFormat="false" ht="17.15" hidden="false" customHeight="false" outlineLevel="0" collapsed="false">
      <c r="A17" s="41" t="s">
        <v>167</v>
      </c>
      <c r="B17" s="42" t="s">
        <v>184</v>
      </c>
      <c r="C17" s="0" t="n">
        <v>0</v>
      </c>
      <c r="E17" s="1" t="s">
        <v>169</v>
      </c>
    </row>
    <row r="18" customFormat="false" ht="15" hidden="false" customHeight="false" outlineLevel="0" collapsed="false">
      <c r="A18" s="41" t="s">
        <v>185</v>
      </c>
      <c r="B18" s="42" t="s">
        <v>186</v>
      </c>
      <c r="C18" s="0" t="n">
        <v>5000</v>
      </c>
      <c r="E18" s="1" t="s">
        <v>187</v>
      </c>
    </row>
    <row r="19" customFormat="false" ht="17.15" hidden="false" customHeight="false" outlineLevel="0" collapsed="false">
      <c r="A19" s="0" t="s">
        <v>188</v>
      </c>
      <c r="B19" s="42" t="s">
        <v>189</v>
      </c>
      <c r="C19" s="0" t="n">
        <v>500</v>
      </c>
      <c r="E19" s="1" t="s">
        <v>190</v>
      </c>
    </row>
    <row r="20" customFormat="false" ht="17.15" hidden="false" customHeight="false" outlineLevel="0" collapsed="false">
      <c r="A20" s="0" t="s">
        <v>188</v>
      </c>
      <c r="B20" s="42" t="s">
        <v>191</v>
      </c>
      <c r="C20" s="0" t="n">
        <v>1000</v>
      </c>
      <c r="E20" s="1" t="s">
        <v>192</v>
      </c>
    </row>
    <row r="21" customFormat="false" ht="17.15" hidden="false" customHeight="false" outlineLevel="0" collapsed="false">
      <c r="A21" s="0" t="s">
        <v>188</v>
      </c>
      <c r="B21" s="42" t="s">
        <v>193</v>
      </c>
      <c r="C21" s="0" t="n">
        <v>1000</v>
      </c>
      <c r="E21" s="1" t="s">
        <v>194</v>
      </c>
    </row>
    <row r="22" customFormat="false" ht="17.15" hidden="false" customHeight="false" outlineLevel="0" collapsed="false">
      <c r="A22" s="0" t="s">
        <v>188</v>
      </c>
      <c r="B22" s="1" t="s">
        <v>195</v>
      </c>
      <c r="C22" s="0" t="n">
        <v>1000</v>
      </c>
      <c r="E22" s="1" t="s">
        <v>196</v>
      </c>
    </row>
    <row r="23" customFormat="false" ht="17.15" hidden="false" customHeight="false" outlineLevel="0" collapsed="false">
      <c r="A23" s="0" t="s">
        <v>188</v>
      </c>
      <c r="B23" s="42" t="s">
        <v>197</v>
      </c>
      <c r="C23" s="0" t="n">
        <v>7</v>
      </c>
      <c r="E23" s="1" t="s">
        <v>198</v>
      </c>
    </row>
    <row r="24" customFormat="false" ht="17.15" hidden="false" customHeight="false" outlineLevel="0" collapsed="false">
      <c r="A24" s="0" t="s">
        <v>188</v>
      </c>
      <c r="B24" s="42" t="s">
        <v>199</v>
      </c>
      <c r="C24" s="0" t="n">
        <v>50</v>
      </c>
      <c r="E24" s="1" t="s">
        <v>200</v>
      </c>
    </row>
    <row r="25" customFormat="false" ht="17.15" hidden="false" customHeight="false" outlineLevel="0" collapsed="false">
      <c r="A25" s="0" t="s">
        <v>188</v>
      </c>
      <c r="B25" s="42" t="s">
        <v>201</v>
      </c>
      <c r="C25" s="0" t="n">
        <v>200</v>
      </c>
      <c r="E25" s="1" t="s">
        <v>202</v>
      </c>
    </row>
    <row r="26" customFormat="false" ht="17.15" hidden="false" customHeight="false" outlineLevel="0" collapsed="false">
      <c r="A26" s="0" t="s">
        <v>188</v>
      </c>
      <c r="B26" s="42" t="s">
        <v>203</v>
      </c>
      <c r="C26" s="0" t="n">
        <v>2000</v>
      </c>
      <c r="E26" s="1" t="s">
        <v>204</v>
      </c>
    </row>
    <row r="27" customFormat="false" ht="17.15" hidden="false" customHeight="false" outlineLevel="0" collapsed="false">
      <c r="A27" s="0" t="s">
        <v>188</v>
      </c>
      <c r="B27" s="42" t="s">
        <v>205</v>
      </c>
      <c r="C27" s="0" t="n">
        <v>100</v>
      </c>
      <c r="E27" s="1" t="s">
        <v>206</v>
      </c>
    </row>
    <row r="28" customFormat="false" ht="17.15" hidden="false" customHeight="false" outlineLevel="0" collapsed="false">
      <c r="A28" s="0" t="s">
        <v>188</v>
      </c>
      <c r="B28" s="1" t="s">
        <v>207</v>
      </c>
      <c r="C28" s="0" t="n">
        <v>2000</v>
      </c>
      <c r="E28" s="1" t="s">
        <v>208</v>
      </c>
    </row>
    <row r="29" customFormat="false" ht="17.15" hidden="false" customHeight="false" outlineLevel="0" collapsed="false">
      <c r="A29" s="0" t="s">
        <v>188</v>
      </c>
      <c r="B29" s="1" t="s">
        <v>209</v>
      </c>
      <c r="C29" s="0" t="n">
        <v>100</v>
      </c>
      <c r="E29" s="1" t="s">
        <v>210</v>
      </c>
    </row>
    <row r="30" customFormat="false" ht="17.15" hidden="false" customHeight="false" outlineLevel="0" collapsed="false">
      <c r="A30" s="0" t="s">
        <v>188</v>
      </c>
      <c r="B30" s="42" t="s">
        <v>211</v>
      </c>
      <c r="C30" s="0" t="n">
        <v>2000</v>
      </c>
      <c r="E30" s="1" t="s">
        <v>212</v>
      </c>
    </row>
    <row r="31" customFormat="false" ht="17.15" hidden="false" customHeight="false" outlineLevel="0" collapsed="false">
      <c r="A31" s="0" t="s">
        <v>188</v>
      </c>
      <c r="B31" s="42" t="s">
        <v>213</v>
      </c>
      <c r="C31" s="0" t="n">
        <v>1000</v>
      </c>
      <c r="E31" s="1" t="s">
        <v>214</v>
      </c>
    </row>
    <row r="32" customFormat="false" ht="17.15" hidden="false" customHeight="false" outlineLevel="0" collapsed="false">
      <c r="A32" s="0" t="s">
        <v>188</v>
      </c>
      <c r="B32" s="42" t="s">
        <v>215</v>
      </c>
      <c r="C32" s="0" t="n">
        <v>20</v>
      </c>
      <c r="E32" s="1" t="s">
        <v>216</v>
      </c>
    </row>
    <row r="33" customFormat="false" ht="17.15" hidden="false" customHeight="false" outlineLevel="0" collapsed="false">
      <c r="A33" s="0" t="s">
        <v>188</v>
      </c>
      <c r="B33" s="42" t="s">
        <v>217</v>
      </c>
      <c r="C33" s="0" t="n">
        <v>30</v>
      </c>
      <c r="E33" s="1" t="s">
        <v>218</v>
      </c>
    </row>
    <row r="34" customFormat="false" ht="17.15" hidden="false" customHeight="false" outlineLevel="0" collapsed="false">
      <c r="A34" s="0" t="s">
        <v>188</v>
      </c>
      <c r="B34" s="42" t="s">
        <v>219</v>
      </c>
      <c r="C34" s="0" t="n">
        <v>0</v>
      </c>
      <c r="E34" s="1" t="s">
        <v>220</v>
      </c>
    </row>
    <row r="38" customFormat="false" ht="17.15" hidden="false" customHeight="false" outlineLevel="0" collapsed="false">
      <c r="A38" s="0" t="s">
        <v>221</v>
      </c>
    </row>
    <row r="39" customFormat="false" ht="17.15" hidden="false" customHeight="false" outlineLevel="0" collapsed="false">
      <c r="A39" s="41" t="s">
        <v>159</v>
      </c>
      <c r="B39" s="42" t="s">
        <v>222</v>
      </c>
      <c r="C39" s="41" t="s">
        <v>223</v>
      </c>
      <c r="D39" s="42" t="s">
        <v>224</v>
      </c>
    </row>
    <row r="40" customFormat="false" ht="17.15" hidden="false" customHeight="false" outlineLevel="0" collapsed="false">
      <c r="A40" s="0" t="s">
        <v>188</v>
      </c>
      <c r="B40" s="1" t="s">
        <v>11</v>
      </c>
      <c r="C40" s="43" t="s">
        <v>225</v>
      </c>
      <c r="D40" s="1" t="s">
        <v>226</v>
      </c>
    </row>
    <row r="42" customFormat="false" ht="17.15" hidden="false" customHeight="false" outlineLevel="0" collapsed="false">
      <c r="A42" s="0" t="s">
        <v>227</v>
      </c>
    </row>
    <row r="43" customFormat="false" ht="17.15" hidden="false" customHeight="false" outlineLevel="0" collapsed="false">
      <c r="A43" s="41" t="s">
        <v>159</v>
      </c>
      <c r="B43" s="42" t="s">
        <v>228</v>
      </c>
      <c r="C43" s="41" t="s">
        <v>229</v>
      </c>
      <c r="D43" s="42" t="s">
        <v>161</v>
      </c>
    </row>
    <row r="44" customFormat="false" ht="15" hidden="false" customHeight="false" outlineLevel="0" collapsed="false">
      <c r="A44" s="41" t="s">
        <v>185</v>
      </c>
      <c r="B44" s="42" t="s">
        <v>230</v>
      </c>
      <c r="C44" s="41" t="s">
        <v>69</v>
      </c>
      <c r="D44" s="1" t="n">
        <v>3000</v>
      </c>
    </row>
    <row r="45" customFormat="false" ht="17.15" hidden="false" customHeight="false" outlineLevel="0" collapsed="false">
      <c r="A45" s="0" t="s">
        <v>188</v>
      </c>
      <c r="B45" s="42" t="s">
        <v>230</v>
      </c>
      <c r="C45" s="41" t="s">
        <v>69</v>
      </c>
      <c r="D45" s="1" t="n">
        <v>1000</v>
      </c>
    </row>
    <row r="46" customFormat="false" ht="17.15" hidden="false" customHeight="false" outlineLevel="0" collapsed="false">
      <c r="A46" s="0" t="s">
        <v>188</v>
      </c>
      <c r="B46" s="42" t="s">
        <v>231</v>
      </c>
      <c r="C46" s="41" t="s">
        <v>98</v>
      </c>
      <c r="D46" s="1" t="n">
        <v>1000</v>
      </c>
    </row>
    <row r="48" customFormat="false" ht="17.15" hidden="false" customHeight="false" outlineLevel="0" collapsed="false">
      <c r="A48" s="0" t="s">
        <v>232</v>
      </c>
    </row>
    <row r="49" customFormat="false" ht="17.15" hidden="false" customHeight="false" outlineLevel="0" collapsed="false">
      <c r="A49" s="41" t="s">
        <v>159</v>
      </c>
      <c r="B49" s="42" t="s">
        <v>228</v>
      </c>
      <c r="C49" s="41" t="s">
        <v>233</v>
      </c>
      <c r="D49" s="42" t="s">
        <v>161</v>
      </c>
    </row>
    <row r="50" customFormat="false" ht="15" hidden="false" customHeight="false" outlineLevel="0" collapsed="false">
      <c r="A50" s="41" t="s">
        <v>185</v>
      </c>
      <c r="B50" s="42" t="s">
        <v>234</v>
      </c>
      <c r="C50" s="41" t="s">
        <v>46</v>
      </c>
      <c r="D50" s="1" t="n">
        <v>300</v>
      </c>
    </row>
    <row r="51" customFormat="false" ht="17.15" hidden="false" customHeight="false" outlineLevel="0" collapsed="false">
      <c r="A51" s="0" t="s">
        <v>188</v>
      </c>
      <c r="B51" s="42" t="s">
        <v>235</v>
      </c>
      <c r="C51" s="41" t="s">
        <v>46</v>
      </c>
      <c r="D51" s="1" t="n">
        <v>200</v>
      </c>
    </row>
    <row r="52" customFormat="false" ht="17.15" hidden="false" customHeight="false" outlineLevel="0" collapsed="false">
      <c r="A52" s="0" t="s">
        <v>188</v>
      </c>
      <c r="B52" s="42" t="s">
        <v>236</v>
      </c>
      <c r="C52" s="41" t="s">
        <v>46</v>
      </c>
      <c r="D52" s="1" t="n">
        <v>200</v>
      </c>
    </row>
    <row r="53" customFormat="false" ht="17.15" hidden="false" customHeight="false" outlineLevel="0" collapsed="false">
      <c r="A53" s="0" t="s">
        <v>188</v>
      </c>
      <c r="B53" s="42" t="s">
        <v>231</v>
      </c>
      <c r="C53" s="41" t="s">
        <v>98</v>
      </c>
      <c r="D53" s="1" t="n">
        <v>1000</v>
      </c>
    </row>
    <row r="55" customFormat="false" ht="17.15" hidden="false" customHeight="false" outlineLevel="0" collapsed="false">
      <c r="A55" s="0" t="s">
        <v>237</v>
      </c>
    </row>
    <row r="56" customFormat="false" ht="17.15" hidden="false" customHeight="false" outlineLevel="0" collapsed="false">
      <c r="A56" s="41" t="s">
        <v>159</v>
      </c>
      <c r="B56" s="42" t="s">
        <v>228</v>
      </c>
      <c r="C56" s="41" t="s">
        <v>229</v>
      </c>
      <c r="D56" s="42" t="s">
        <v>161</v>
      </c>
    </row>
    <row r="57" customFormat="false" ht="17.15" hidden="false" customHeight="false" outlineLevel="0" collapsed="false">
      <c r="A57" s="41" t="s">
        <v>185</v>
      </c>
      <c r="B57" s="42" t="s">
        <v>238</v>
      </c>
      <c r="C57" s="41" t="s">
        <v>35</v>
      </c>
      <c r="D57" s="1" t="n">
        <v>5000</v>
      </c>
    </row>
    <row r="58" customFormat="false" ht="15" hidden="false" customHeight="false" outlineLevel="0" collapsed="false">
      <c r="A58" s="41" t="s">
        <v>185</v>
      </c>
      <c r="B58" s="42" t="s">
        <v>234</v>
      </c>
      <c r="C58" s="41" t="s">
        <v>46</v>
      </c>
      <c r="D58" s="1" t="n">
        <v>300</v>
      </c>
    </row>
    <row r="59" customFormat="false" ht="17.15" hidden="false" customHeight="false" outlineLevel="0" collapsed="false">
      <c r="A59" s="41" t="s">
        <v>185</v>
      </c>
      <c r="B59" s="42" t="s">
        <v>239</v>
      </c>
      <c r="C59" s="41" t="s">
        <v>47</v>
      </c>
      <c r="D59" s="1" t="n">
        <v>10</v>
      </c>
    </row>
    <row r="60" customFormat="false" ht="15" hidden="false" customHeight="false" outlineLevel="0" collapsed="false">
      <c r="A60" s="41" t="s">
        <v>185</v>
      </c>
      <c r="B60" s="42" t="s">
        <v>240</v>
      </c>
      <c r="C60" s="41" t="s">
        <v>35</v>
      </c>
      <c r="D60" s="1" t="n">
        <v>3000</v>
      </c>
    </row>
    <row r="61" customFormat="false" ht="17.15" hidden="false" customHeight="false" outlineLevel="0" collapsed="false">
      <c r="A61" s="41" t="s">
        <v>185</v>
      </c>
      <c r="B61" s="1" t="s">
        <v>241</v>
      </c>
      <c r="C61" s="41" t="s">
        <v>35</v>
      </c>
      <c r="D61" s="1" t="n">
        <v>2000</v>
      </c>
    </row>
    <row r="62" customFormat="false" ht="17.15" hidden="false" customHeight="false" outlineLevel="0" collapsed="false">
      <c r="A62" s="0" t="s">
        <v>188</v>
      </c>
      <c r="B62" s="42" t="s">
        <v>242</v>
      </c>
      <c r="C62" s="41" t="s">
        <v>35</v>
      </c>
      <c r="D62" s="1" t="n">
        <v>2000</v>
      </c>
    </row>
    <row r="63" customFormat="false" ht="17.15" hidden="false" customHeight="false" outlineLevel="0" collapsed="false">
      <c r="A63" s="0" t="s">
        <v>188</v>
      </c>
      <c r="B63" s="42" t="s">
        <v>235</v>
      </c>
      <c r="C63" s="41" t="s">
        <v>46</v>
      </c>
      <c r="D63" s="1" t="n">
        <v>200</v>
      </c>
    </row>
    <row r="64" customFormat="false" ht="17.15" hidden="false" customHeight="false" outlineLevel="0" collapsed="false">
      <c r="A64" s="0" t="s">
        <v>188</v>
      </c>
      <c r="B64" s="42" t="s">
        <v>236</v>
      </c>
      <c r="C64" s="41" t="s">
        <v>46</v>
      </c>
      <c r="D64" s="1" t="n">
        <v>200</v>
      </c>
    </row>
    <row r="65" customFormat="false" ht="17.15" hidden="false" customHeight="false" outlineLevel="0" collapsed="false">
      <c r="A65" s="0" t="s">
        <v>188</v>
      </c>
      <c r="B65" s="42" t="s">
        <v>243</v>
      </c>
      <c r="C65" s="41" t="s">
        <v>47</v>
      </c>
      <c r="D65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244</v>
      </c>
      <c r="B1" s="0" t="s">
        <v>245</v>
      </c>
      <c r="C1" s="0" t="s">
        <v>246</v>
      </c>
    </row>
    <row r="2" customFormat="false" ht="17.15" hidden="false" customHeight="false" outlineLevel="0" collapsed="false">
      <c r="A2" s="41" t="s">
        <v>35</v>
      </c>
      <c r="B2" s="41" t="s">
        <v>238</v>
      </c>
      <c r="C2" s="0" t="n">
        <v>5000</v>
      </c>
    </row>
    <row r="3" customFormat="false" ht="15" hidden="false" customHeight="false" outlineLevel="0" collapsed="false">
      <c r="A3" s="41" t="s">
        <v>69</v>
      </c>
      <c r="B3" s="41" t="s">
        <v>230</v>
      </c>
      <c r="C3" s="0" t="n">
        <v>3000</v>
      </c>
    </row>
    <row r="4" customFormat="false" ht="17.15" hidden="false" customHeight="false" outlineLevel="0" collapsed="false">
      <c r="A4" s="41" t="s">
        <v>51</v>
      </c>
      <c r="B4" s="41" t="s">
        <v>247</v>
      </c>
      <c r="C4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2026-07-13T08:23:25Z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