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보장분석" sheetId="1" state="visible" r:id="rId3"/>
    <sheet name="법칙" sheetId="2" state="visible" r:id="rId4"/>
    <sheet name="확인사항" sheetId="3" state="visible" r:id="rId5"/>
    <sheet name="_dambo_raw" sheetId="4" state="hidden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<sst xmlns="http://schemas.openxmlformats.org/spreadsheetml/2006/main" count="520" uniqueCount="399">
  <si>
    <t xml:space="preserve">이영태 보장진단</t>
  </si>
  <si>
    <r>
      <rPr>
        <b val="true"/>
        <sz val="9"/>
        <color rgb="FFFFFFFF"/>
        <rFont val="Noto Sans CJK SC"/>
        <family val="2"/>
      </rPr>
      <t xml:space="preserve">한화생명
한화생명 </t>
    </r>
    <r>
      <rPr>
        <b val="true"/>
        <sz val="9"/>
        <color rgb="FFFFFFFF"/>
        <rFont val="맑은 고딕"/>
        <family val="0"/>
        <charset val="1"/>
      </rPr>
      <t xml:space="preserve">H</t>
    </r>
    <r>
      <rPr>
        <b val="true"/>
        <sz val="9"/>
        <color rgb="FFFFFFFF"/>
        <rFont val="Noto Sans CJK SC"/>
        <family val="2"/>
      </rPr>
      <t xml:space="preserve">종신보험 무배당 보장형 계약 </t>
    </r>
    <r>
      <rPr>
        <b val="true"/>
        <sz val="9"/>
        <color rgb="FFFFFFFF"/>
        <rFont val="맑은 고딕"/>
        <family val="0"/>
        <charset val="1"/>
      </rPr>
      <t xml:space="preserve">1 </t>
    </r>
    <r>
      <rPr>
        <b val="true"/>
        <sz val="9"/>
        <color rgb="FFFFFFFF"/>
        <rFont val="Noto Sans CJK SC"/>
        <family val="2"/>
      </rPr>
      <t xml:space="preserve">종（기본납입면제형） 해약환급금 일부지급형 </t>
    </r>
    <r>
      <rPr>
        <b val="true"/>
        <sz val="9"/>
        <color rgb="FFFFFFFF"/>
        <rFont val="맑은 고딕"/>
        <family val="0"/>
        <charset val="1"/>
      </rPr>
      <t xml:space="preserve">I </t>
    </r>
    <r>
      <rPr>
        <b val="true"/>
        <sz val="9"/>
        <color rgb="FFFFFFFF"/>
        <rFont val="Noto Sans CJK SC"/>
        <family val="2"/>
      </rPr>
      <t xml:space="preserve">（납입기간중 </t>
    </r>
    <r>
      <rPr>
        <b val="true"/>
        <sz val="9"/>
        <color rgb="FFFFFFFF"/>
        <rFont val="맑은 고딕"/>
        <family val="0"/>
        <charset val="1"/>
      </rPr>
      <t xml:space="preserve">50%</t>
    </r>
    <r>
      <rPr>
        <b val="true"/>
        <sz val="9"/>
        <color rgb="FFFFFFFF"/>
        <rFont val="Noto Sans CJK SC"/>
        <family val="2"/>
      </rPr>
      <t xml:space="preserve">） 표
</t>
    </r>
    <r>
      <rPr>
        <b val="true"/>
        <sz val="9"/>
        <color rgb="FFFFFFFF"/>
        <rFont val="맑은 고딕"/>
        <family val="0"/>
        <charset val="1"/>
      </rPr>
      <t xml:space="preserve">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종신</t>
    </r>
    <r>
      <rPr>
        <b val="true"/>
        <sz val="9"/>
        <color rgb="FFFFFFFF"/>
        <rFont val="맑은 고딕"/>
        <family val="0"/>
        <charset val="1"/>
      </rPr>
      <t xml:space="preserve">)]</t>
    </r>
  </si>
  <si>
    <r>
      <rPr>
        <b val="true"/>
        <sz val="9"/>
        <color rgb="FFFFFFFF"/>
        <rFont val="Noto Sans CJK SC"/>
        <family val="2"/>
      </rPr>
      <t xml:space="preserve">삼성생명
無삼성리빙케어（종</t>
    </r>
    <r>
      <rPr>
        <b val="true"/>
        <sz val="9"/>
        <color rgb="FFFFFFFF"/>
        <rFont val="맑은 고딕"/>
        <family val="0"/>
        <charset val="1"/>
      </rPr>
      <t xml:space="preserve">2</t>
    </r>
    <r>
      <rPr>
        <b val="true"/>
        <sz val="9"/>
        <color rgb="FFFFFFFF"/>
        <rFont val="Noto Sans CJK SC"/>
        <family val="2"/>
      </rPr>
      <t xml:space="preserve">비일시우량）</t>
    </r>
    <r>
      <rPr>
        <b val="true"/>
        <sz val="9"/>
        <color rgb="FFFFFFFF"/>
        <rFont val="맑은 고딕"/>
        <family val="0"/>
        <charset val="1"/>
      </rPr>
      <t xml:space="preserve">1.3
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종신</t>
    </r>
    <r>
      <rPr>
        <b val="true"/>
        <sz val="9"/>
        <color rgb="FFFFFFFF"/>
        <rFont val="맑은 고딕"/>
        <family val="0"/>
        <charset val="1"/>
      </rPr>
      <t xml:space="preserve">)]</t>
    </r>
  </si>
  <si>
    <r>
      <rPr>
        <b val="true"/>
        <sz val="9"/>
        <color rgb="FFFFFFFF"/>
        <rFont val="Noto Sans CJK SC"/>
        <family val="2"/>
      </rPr>
      <t xml:space="preserve">교보생명
무배당교보</t>
    </r>
    <r>
      <rPr>
        <b val="true"/>
        <sz val="9"/>
        <color rgb="FFFFFFFF"/>
        <rFont val="맑은 고딕"/>
        <family val="0"/>
        <charset val="1"/>
      </rPr>
      <t xml:space="preserve">VIP</t>
    </r>
    <r>
      <rPr>
        <b val="true"/>
        <sz val="9"/>
        <color rgb="FFFFFFFF"/>
        <rFont val="Noto Sans CJK SC"/>
        <family val="2"/>
      </rPr>
      <t xml:space="preserve">변액유니 버셜종신보험 </t>
    </r>
    <r>
      <rPr>
        <b val="true"/>
        <sz val="9"/>
        <color rgb="FFFFFFFF"/>
        <rFont val="맑은 고딕"/>
        <family val="0"/>
        <charset val="1"/>
      </rPr>
      <t xml:space="preserve">III </t>
    </r>
    <r>
      <rPr>
        <b val="true"/>
        <sz val="9"/>
        <color rgb="FFFFFFFF"/>
        <rFont val="Noto Sans CJK SC"/>
        <family val="2"/>
      </rPr>
      <t xml:space="preserve">（보장형）
</t>
    </r>
    <r>
      <rPr>
        <b val="true"/>
        <sz val="9"/>
        <color rgb="FFFFFFFF"/>
        <rFont val="맑은 고딕"/>
        <family val="0"/>
        <charset val="1"/>
      </rPr>
      <t xml:space="preserve">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종신</t>
    </r>
    <r>
      <rPr>
        <b val="true"/>
        <sz val="9"/>
        <color rgb="FFFFFFFF"/>
        <rFont val="맑은 고딕"/>
        <family val="0"/>
        <charset val="1"/>
      </rPr>
      <t xml:space="preserve">)]</t>
    </r>
  </si>
  <si>
    <r>
      <rPr>
        <b val="true"/>
        <sz val="9"/>
        <color rgb="FFFFFFFF"/>
        <rFont val="Noto Sans CJK SC"/>
        <family val="2"/>
      </rPr>
      <t xml:space="preserve">교보생명
무배당교보실속있는종신보험 （보증 비용부과형</t>
    </r>
    <r>
      <rPr>
        <b val="true"/>
        <sz val="9"/>
        <color rgb="FFFFFFFF"/>
        <rFont val="맑은 고딕"/>
        <family val="0"/>
        <charset val="1"/>
      </rPr>
      <t xml:space="preserve">/</t>
    </r>
    <r>
      <rPr>
        <b val="true"/>
        <sz val="9"/>
        <color rgb="FFFFFFFF"/>
        <rFont val="Noto Sans CJK SC"/>
        <family val="2"/>
      </rPr>
      <t xml:space="preserve">저해지 환급형 ）
</t>
    </r>
    <r>
      <rPr>
        <b val="true"/>
        <sz val="9"/>
        <color rgb="FFFFFFFF"/>
        <rFont val="맑은 고딕"/>
        <family val="0"/>
        <charset val="1"/>
      </rPr>
      <t xml:space="preserve">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종신</t>
    </r>
    <r>
      <rPr>
        <b val="true"/>
        <sz val="9"/>
        <color rgb="FFFFFFFF"/>
        <rFont val="맑은 고딕"/>
        <family val="0"/>
        <charset val="1"/>
      </rPr>
      <t xml:space="preserve">)]</t>
    </r>
  </si>
  <si>
    <r>
      <rPr>
        <b val="true"/>
        <sz val="9"/>
        <color rgb="FFFFFFFF"/>
        <rFont val="맑은 고딕"/>
        <family val="0"/>
        <charset val="1"/>
      </rPr>
      <t xml:space="preserve">KDB</t>
    </r>
    <r>
      <rPr>
        <b val="true"/>
        <sz val="9"/>
        <color rgb="FFFFFFFF"/>
        <rFont val="Noto Sans CJK SC"/>
        <family val="2"/>
      </rPr>
      <t xml:space="preserve">생명
（무）</t>
    </r>
    <r>
      <rPr>
        <b val="true"/>
        <sz val="9"/>
        <color rgb="FFFFFFFF"/>
        <rFont val="맑은 고딕"/>
        <family val="0"/>
        <charset val="1"/>
      </rPr>
      <t xml:space="preserve">KDB </t>
    </r>
    <r>
      <rPr>
        <b val="true"/>
        <sz val="9"/>
        <color rgb="FFFFFFFF"/>
        <rFont val="Noto Sans CJK SC"/>
        <family val="2"/>
      </rPr>
      <t xml:space="preserve">파워저축연금보험
</t>
    </r>
    <r>
      <rPr>
        <b val="true"/>
        <sz val="9"/>
        <color rgb="FFFFFFFF"/>
        <rFont val="맑은 고딕"/>
        <family val="0"/>
        <charset val="1"/>
      </rPr>
      <t xml:space="preserve">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종신</t>
    </r>
    <r>
      <rPr>
        <b val="true"/>
        <sz val="9"/>
        <color rgb="FFFFFFFF"/>
        <rFont val="맑은 고딕"/>
        <family val="0"/>
        <charset val="1"/>
      </rPr>
      <t xml:space="preserve">)]</t>
    </r>
  </si>
  <si>
    <r>
      <rPr>
        <b val="true"/>
        <sz val="9"/>
        <color rgb="FFFFFFFF"/>
        <rFont val="맑은 고딕"/>
        <family val="0"/>
        <charset val="1"/>
      </rPr>
      <t xml:space="preserve">AIA</t>
    </r>
    <r>
      <rPr>
        <b val="true"/>
        <sz val="9"/>
        <color rgb="FFFFFFFF"/>
        <rFont val="Noto Sans CJK SC"/>
        <family val="2"/>
      </rPr>
      <t xml:space="preserve">생명
（무） 프라임유니버셜보험
</t>
    </r>
    <r>
      <rPr>
        <b val="true"/>
        <sz val="9"/>
        <color rgb="FFFFFFFF"/>
        <rFont val="맑은 고딕"/>
        <family val="0"/>
        <charset val="1"/>
      </rPr>
      <t xml:space="preserve">[</t>
    </r>
    <r>
      <rPr>
        <b val="true"/>
        <sz val="9"/>
        <color rgb="FFFFFFFF"/>
        <rFont val="Noto Sans CJK SC"/>
        <family val="2"/>
      </rPr>
      <t xml:space="preserve">갱신</t>
    </r>
    <r>
      <rPr>
        <b val="true"/>
        <sz val="9"/>
        <color rgb="FFFFFFFF"/>
        <rFont val="맑은 고딕"/>
        <family val="0"/>
        <charset val="1"/>
      </rPr>
      <t xml:space="preserve">]</t>
    </r>
  </si>
  <si>
    <r>
      <rPr>
        <b val="true"/>
        <sz val="9"/>
        <color rgb="FFFFFFFF"/>
        <rFont val="Noto Sans CJK SC"/>
        <family val="2"/>
      </rPr>
      <t xml:space="preserve">현대해상
무배당</t>
    </r>
    <r>
      <rPr>
        <b val="true"/>
        <sz val="9"/>
        <color rgb="FFFFFFFF"/>
        <rFont val="맑은 고딕"/>
        <family val="0"/>
        <charset val="1"/>
      </rPr>
      <t xml:space="preserve">100</t>
    </r>
    <r>
      <rPr>
        <b val="true"/>
        <sz val="9"/>
        <color rgb="FFFFFFFF"/>
        <rFont val="Noto Sans CJK SC"/>
        <family val="2"/>
      </rPr>
      <t xml:space="preserve">세시대간병보험 （</t>
    </r>
    <r>
      <rPr>
        <b val="true"/>
        <sz val="9"/>
        <color rgb="FFFFFFFF"/>
        <rFont val="맑은 고딕"/>
        <family val="0"/>
        <charset val="1"/>
      </rPr>
      <t xml:space="preserve">Hi1309</t>
    </r>
    <r>
      <rPr>
        <b val="true"/>
        <sz val="9"/>
        <color rgb="FFFFFFFF"/>
        <rFont val="Noto Sans CJK SC"/>
        <family val="2"/>
      </rPr>
      <t xml:space="preserve">）기본플랜
</t>
    </r>
    <r>
      <rPr>
        <b val="true"/>
        <sz val="9"/>
        <color rgb="FFFFFFFF"/>
        <rFont val="맑은 고딕"/>
        <family val="0"/>
        <charset val="1"/>
      </rPr>
      <t xml:space="preserve">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]</t>
    </r>
  </si>
  <si>
    <r>
      <rPr>
        <b val="true"/>
        <sz val="9"/>
        <color rgb="FFFFFFFF"/>
        <rFont val="Noto Sans CJK SC"/>
        <family val="2"/>
      </rPr>
      <t xml:space="preserve">현대해상
무배당하이카운전자상해보험 （</t>
    </r>
    <r>
      <rPr>
        <b val="true"/>
        <sz val="9"/>
        <color rgb="FFFFFFFF"/>
        <rFont val="맑은 고딕"/>
        <family val="0"/>
        <charset val="1"/>
      </rPr>
      <t xml:space="preserve">Hi1911</t>
    </r>
    <r>
      <rPr>
        <b val="true"/>
        <sz val="9"/>
        <color rgb="FFFFFFFF"/>
        <rFont val="Noto Sans CJK SC"/>
        <family val="2"/>
      </rPr>
      <t xml:space="preserve">）</t>
    </r>
    <r>
      <rPr>
        <b val="true"/>
        <sz val="9"/>
        <color rgb="FFFFFFFF"/>
        <rFont val="맑은 고딕"/>
        <family val="0"/>
        <charset val="1"/>
      </rPr>
      <t xml:space="preserve">2</t>
    </r>
    <r>
      <rPr>
        <b val="true"/>
        <sz val="9"/>
        <color rgb="FFFFFFFF"/>
        <rFont val="Noto Sans CJK SC"/>
        <family val="2"/>
      </rPr>
      <t xml:space="preserve">종（세만기）기본플랜
</t>
    </r>
    <r>
      <rPr>
        <b val="true"/>
        <sz val="9"/>
        <color rgb="FFFFFFFF"/>
        <rFont val="맑은 고딕"/>
        <family val="0"/>
        <charset val="1"/>
      </rPr>
      <t xml:space="preserve">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]</t>
    </r>
  </si>
  <si>
    <r>
      <rPr>
        <b val="true"/>
        <sz val="9"/>
        <color rgb="FFFFFFFF"/>
        <rFont val="Noto Sans CJK SC"/>
        <family val="2"/>
      </rPr>
      <t xml:space="preserve">현대해상
무배당건강한심혈케어보험 （</t>
    </r>
    <r>
      <rPr>
        <b val="true"/>
        <sz val="9"/>
        <color rgb="FFFFFFFF"/>
        <rFont val="맑은 고딕"/>
        <family val="0"/>
        <charset val="1"/>
      </rPr>
      <t xml:space="preserve">Hi2007</t>
    </r>
    <r>
      <rPr>
        <b val="true"/>
        <sz val="9"/>
        <color rgb="FFFFFFFF"/>
        <rFont val="Noto Sans CJK SC"/>
        <family val="2"/>
      </rPr>
      <t xml:space="preserve">）</t>
    </r>
    <r>
      <rPr>
        <b val="true"/>
        <sz val="9"/>
        <color rgb="FFFFFFFF"/>
        <rFont val="맑은 고딕"/>
        <family val="0"/>
        <charset val="1"/>
      </rPr>
      <t xml:space="preserve">1 </t>
    </r>
    <r>
      <rPr>
        <b val="true"/>
        <sz val="9"/>
        <color rgb="FFFFFFFF"/>
        <rFont val="Noto Sans CJK SC"/>
        <family val="2"/>
      </rPr>
      <t xml:space="preserve">종（연만기 자동갱신형）기본플랜
</t>
    </r>
    <r>
      <rPr>
        <b val="true"/>
        <sz val="9"/>
        <color rgb="FFFFFFFF"/>
        <rFont val="맑은 고딕"/>
        <family val="0"/>
        <charset val="1"/>
      </rPr>
      <t xml:space="preserve">[</t>
    </r>
    <r>
      <rPr>
        <b val="true"/>
        <sz val="9"/>
        <color rgb="FFFFFFFF"/>
        <rFont val="Noto Sans CJK SC"/>
        <family val="2"/>
      </rPr>
      <t xml:space="preserve">갱신</t>
    </r>
    <r>
      <rPr>
        <b val="true"/>
        <sz val="9"/>
        <color rgb="FFFFFFFF"/>
        <rFont val="맑은 고딕"/>
        <family val="0"/>
        <charset val="1"/>
      </rPr>
      <t xml:space="preserve">]</t>
    </r>
  </si>
  <si>
    <r>
      <rPr>
        <b val="true"/>
        <sz val="9"/>
        <color rgb="FFFFFFFF"/>
        <rFont val="Noto Sans CJK SC"/>
        <family val="2"/>
      </rPr>
      <t xml:space="preserve">현대해상
무배당하이 카운전자상해보험 （</t>
    </r>
    <r>
      <rPr>
        <b val="true"/>
        <sz val="9"/>
        <color rgb="FFFFFFFF"/>
        <rFont val="맑은 고딕"/>
        <family val="0"/>
        <charset val="1"/>
      </rPr>
      <t xml:space="preserve">Hi2006</t>
    </r>
    <r>
      <rPr>
        <b val="true"/>
        <sz val="9"/>
        <color rgb="FFFFFFFF"/>
        <rFont val="Noto Sans CJK SC"/>
        <family val="2"/>
      </rPr>
      <t xml:space="preserve">）</t>
    </r>
    <r>
      <rPr>
        <b val="true"/>
        <sz val="9"/>
        <color rgb="FFFFFFFF"/>
        <rFont val="맑은 고딕"/>
        <family val="0"/>
        <charset val="1"/>
      </rPr>
      <t xml:space="preserve">2</t>
    </r>
    <r>
      <rPr>
        <b val="true"/>
        <sz val="9"/>
        <color rgb="FFFFFFFF"/>
        <rFont val="Noto Sans CJK SC"/>
        <family val="2"/>
      </rPr>
      <t xml:space="preserve">종（세만기）기본플랜
</t>
    </r>
    <r>
      <rPr>
        <b val="true"/>
        <sz val="9"/>
        <color rgb="FFFFFFFF"/>
        <rFont val="맑은 고딕"/>
        <family val="0"/>
        <charset val="1"/>
      </rPr>
      <t xml:space="preserve">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]</t>
    </r>
  </si>
  <si>
    <r>
      <rPr>
        <b val="true"/>
        <sz val="9"/>
        <color rgb="FFFFFFFF"/>
        <rFont val="Noto Sans CJK SC"/>
        <family val="2"/>
      </rPr>
      <t xml:space="preserve">현대해상
무배당실손의료비보장보험 （갱신형）（</t>
    </r>
    <r>
      <rPr>
        <b val="true"/>
        <sz val="9"/>
        <color rgb="FFFFFFFF"/>
        <rFont val="맑은 고딕"/>
        <family val="0"/>
        <charset val="1"/>
      </rPr>
      <t xml:space="preserve">Hi2004</t>
    </r>
    <r>
      <rPr>
        <b val="true"/>
        <sz val="9"/>
        <color rgb="FFFFFFFF"/>
        <rFont val="Noto Sans CJK SC"/>
        <family val="2"/>
      </rPr>
      <t xml:space="preserve">）기본납입 형플랜
</t>
    </r>
    <r>
      <rPr>
        <b val="true"/>
        <sz val="9"/>
        <color rgb="FFFFFFFF"/>
        <rFont val="맑은 고딕"/>
        <family val="0"/>
        <charset val="1"/>
      </rPr>
      <t xml:space="preserve">[</t>
    </r>
    <r>
      <rPr>
        <b val="true"/>
        <sz val="9"/>
        <color rgb="FFFFFFFF"/>
        <rFont val="Noto Sans CJK SC"/>
        <family val="2"/>
      </rPr>
      <t xml:space="preserve">갱신</t>
    </r>
    <r>
      <rPr>
        <b val="true"/>
        <sz val="9"/>
        <color rgb="FFFFFFFF"/>
        <rFont val="맑은 고딕"/>
        <family val="0"/>
        <charset val="1"/>
      </rPr>
      <t xml:space="preserve">]
(3</t>
    </r>
    <r>
      <rPr>
        <b val="true"/>
        <sz val="9"/>
        <color rgb="FFFFFFFF"/>
        <rFont val="Noto Sans CJK SC"/>
        <family val="2"/>
      </rPr>
      <t xml:space="preserve">세대 실손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</si>
  <si>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현대해상
무배당하이 라이프파워 </t>
    </r>
    <r>
      <rPr>
        <b val="true"/>
        <sz val="9"/>
        <color rgb="FFFFFFFF"/>
        <rFont val="맑은 고딕"/>
        <family val="0"/>
        <charset val="1"/>
      </rPr>
      <t xml:space="preserve">ECO</t>
    </r>
    <r>
      <rPr>
        <b val="true"/>
        <sz val="9"/>
        <color rgb="FFFFFFFF"/>
        <rFont val="Noto Sans CJK SC"/>
        <family val="2"/>
      </rPr>
      <t xml:space="preserve">운전자보험 </t>
    </r>
    <r>
      <rPr>
        <b val="true"/>
        <sz val="9"/>
        <color rgb="FFFFFFFF"/>
        <rFont val="맑은 고딕"/>
        <family val="0"/>
        <charset val="1"/>
      </rPr>
      <t xml:space="preserve">Hi0910</t>
    </r>
    <r>
      <rPr>
        <b val="true"/>
        <sz val="9"/>
        <color rgb="FFFFFFFF"/>
        <rFont val="Noto Sans CJK SC"/>
        <family val="2"/>
      </rPr>
      <t xml:space="preserve">（자가용</t>
    </r>
    <r>
      <rPr>
        <b val="true"/>
        <sz val="9"/>
        <color rgb="FFFFFFFF"/>
        <rFont val="맑은 고딕"/>
        <family val="0"/>
        <charset val="1"/>
      </rPr>
      <t xml:space="preserve">/</t>
    </r>
    <r>
      <rPr>
        <b val="true"/>
        <sz val="9"/>
        <color rgb="FFFFFFFF"/>
        <rFont val="Noto Sans CJK SC"/>
        <family val="2"/>
      </rPr>
      <t xml:space="preserve">교통상해）
</t>
    </r>
    <r>
      <rPr>
        <b val="true"/>
        <sz val="9"/>
        <color rgb="FFFFFFFF"/>
        <rFont val="맑은 고딕"/>
        <family val="0"/>
        <charset val="1"/>
      </rPr>
      <t xml:space="preserve">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]</t>
    </r>
  </si>
  <si>
    <r>
      <rPr>
        <b val="true"/>
        <sz val="9"/>
        <color rgb="FFFFFFFF"/>
        <rFont val="맑은 고딕"/>
        <family val="0"/>
        <charset val="1"/>
      </rPr>
      <t xml:space="preserve">KB</t>
    </r>
    <r>
      <rPr>
        <b val="true"/>
        <sz val="9"/>
        <color rgb="FFFFFFFF"/>
        <rFont val="Noto Sans CJK SC"/>
        <family val="2"/>
      </rPr>
      <t xml:space="preserve">손보
（무）</t>
    </r>
    <r>
      <rPr>
        <b val="true"/>
        <sz val="9"/>
        <color rgb="FFFFFFFF"/>
        <rFont val="맑은 고딕"/>
        <family val="0"/>
        <charset val="1"/>
      </rPr>
      <t xml:space="preserve">KB The</t>
    </r>
    <r>
      <rPr>
        <b val="true"/>
        <sz val="9"/>
        <color rgb="FFFFFFFF"/>
        <rFont val="Noto Sans CJK SC"/>
        <family val="2"/>
      </rPr>
      <t xml:space="preserve">좋은닥터플러스건강보험 </t>
    </r>
    <r>
      <rPr>
        <b val="true"/>
        <sz val="9"/>
        <color rgb="FFFFFFFF"/>
        <rFont val="맑은 고딕"/>
        <family val="0"/>
        <charset val="1"/>
      </rPr>
      <t xml:space="preserve">II </t>
    </r>
    <r>
      <rPr>
        <b val="true"/>
        <sz val="9"/>
        <color rgb="FFFFFFFF"/>
        <rFont val="Noto Sans CJK SC"/>
        <family val="2"/>
      </rPr>
      <t xml:space="preserve">（</t>
    </r>
    <r>
      <rPr>
        <b val="true"/>
        <sz val="9"/>
        <color rgb="FFFFFFFF"/>
        <rFont val="맑은 고딕"/>
        <family val="0"/>
        <charset val="1"/>
      </rPr>
      <t xml:space="preserve">20.07</t>
    </r>
    <r>
      <rPr>
        <b val="true"/>
        <sz val="9"/>
        <color rgb="FFFFFFFF"/>
        <rFont val="Noto Sans CJK SC"/>
        <family val="2"/>
      </rPr>
      <t xml:space="preserve">）
</t>
    </r>
    <r>
      <rPr>
        <b val="true"/>
        <sz val="9"/>
        <color rgb="FFFFFFFF"/>
        <rFont val="맑은 고딕"/>
        <family val="0"/>
        <charset val="1"/>
      </rPr>
      <t xml:space="preserve">[</t>
    </r>
    <r>
      <rPr>
        <b val="true"/>
        <sz val="9"/>
        <color rgb="FFFFFFFF"/>
        <rFont val="Noto Sans CJK SC"/>
        <family val="2"/>
      </rPr>
      <t xml:space="preserve">갱신</t>
    </r>
    <r>
      <rPr>
        <b val="true"/>
        <sz val="9"/>
        <color rgb="FFFFFFFF"/>
        <rFont val="맑은 고딕"/>
        <family val="0"/>
        <charset val="1"/>
      </rPr>
      <t xml:space="preserve">]</t>
    </r>
  </si>
  <si>
    <r>
      <rPr>
        <b val="true"/>
        <sz val="9"/>
        <color rgb="FFFFFFFF"/>
        <rFont val="Noto Sans CJK SC"/>
        <family val="2"/>
      </rPr>
      <t xml:space="preserve">애손보
참좋은화재 플러스보장보험 </t>
    </r>
    <r>
      <rPr>
        <b val="true"/>
        <sz val="9"/>
        <color rgb="FFFFFFFF"/>
        <rFont val="맑은 고딕"/>
        <family val="0"/>
        <charset val="1"/>
      </rPr>
      <t xml:space="preserve">2101
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]</t>
    </r>
  </si>
  <si>
    <r>
      <rPr>
        <b val="true"/>
        <sz val="9"/>
        <color rgb="FFFFFFFF"/>
        <rFont val="Noto Sans CJK SC"/>
        <family val="2"/>
      </rPr>
      <t xml:space="preserve">하나손해보험
무배당 하나 가득담은 암보험（</t>
    </r>
    <r>
      <rPr>
        <b val="true"/>
        <sz val="9"/>
        <color rgb="FFFFFFFF"/>
        <rFont val="맑은 고딕"/>
        <family val="0"/>
        <charset val="1"/>
      </rPr>
      <t xml:space="preserve">TMK</t>
    </r>
    <r>
      <rPr>
        <b val="true"/>
        <sz val="9"/>
        <color rgb="FFFFFFFF"/>
        <rFont val="Noto Sans CJK SC"/>
        <family val="2"/>
      </rPr>
      <t xml:space="preserve">일반심사형）（</t>
    </r>
    <r>
      <rPr>
        <b val="true"/>
        <sz val="9"/>
        <color rgb="FFFFFFFF"/>
        <rFont val="맑은 고딕"/>
        <family val="0"/>
        <charset val="1"/>
      </rPr>
      <t xml:space="preserve">2308</t>
    </r>
    <r>
      <rPr>
        <b val="true"/>
        <sz val="9"/>
        <color rgb="FFFFFFFF"/>
        <rFont val="Noto Sans CJK SC"/>
        <family val="2"/>
      </rPr>
      <t xml:space="preserve">）
</t>
    </r>
    <r>
      <rPr>
        <b val="true"/>
        <sz val="9"/>
        <color rgb="FFFFFFFF"/>
        <rFont val="맑은 고딕"/>
        <family val="0"/>
        <charset val="1"/>
      </rPr>
      <t xml:space="preserve">[</t>
    </r>
    <r>
      <rPr>
        <b val="true"/>
        <sz val="9"/>
        <color rgb="FFFFFFFF"/>
        <rFont val="Noto Sans CJK SC"/>
        <family val="2"/>
      </rPr>
      <t xml:space="preserve">갱신</t>
    </r>
    <r>
      <rPr>
        <b val="true"/>
        <sz val="9"/>
        <color rgb="FFFFFFFF"/>
        <rFont val="맑은 고딕"/>
        <family val="0"/>
        <charset val="1"/>
      </rPr>
      <t xml:space="preserve">]</t>
    </r>
  </si>
  <si>
    <t xml:space="preserve">합계</t>
  </si>
  <si>
    <t xml:space="preserve">보험료</t>
  </si>
  <si>
    <r>
      <rPr>
        <sz val="9"/>
        <color rgb="FF000000"/>
        <rFont val="맑은 고딕"/>
        <family val="0"/>
        <charset val="1"/>
      </rPr>
      <t xml:space="preserve">200,600 (</t>
    </r>
    <r>
      <rPr>
        <sz val="9"/>
        <color rgb="FF000000"/>
        <rFont val="Noto Sans CJK SC"/>
        <family val="2"/>
      </rPr>
      <t xml:space="preserve">완납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</si>
  <si>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맑은 고딕"/>
        <family val="0"/>
        <charset val="1"/>
      </rPr>
      <t xml:space="preserve">390,000 (</t>
    </r>
    <r>
      <rPr>
        <sz val="9"/>
        <color rgb="FF000000"/>
        <rFont val="Noto Sans CJK SC"/>
        <family val="2"/>
      </rPr>
      <t xml:space="preserve">완납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</si>
  <si>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맑은 고딕"/>
        <family val="0"/>
        <charset val="1"/>
      </rPr>
      <t xml:space="preserve">261,000 (</t>
    </r>
    <r>
      <rPr>
        <sz val="9"/>
        <color rgb="FF000000"/>
        <rFont val="Noto Sans CJK SC"/>
        <family val="2"/>
      </rPr>
      <t xml:space="preserve">완납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</si>
  <si>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맑은 고딕"/>
        <family val="0"/>
        <charset val="1"/>
      </rPr>
      <t xml:space="preserve">59,900 (</t>
    </r>
    <r>
      <rPr>
        <sz val="9"/>
        <color rgb="FF000000"/>
        <rFont val="Noto Sans CJK SC"/>
        <family val="2"/>
      </rPr>
      <t xml:space="preserve">완납</t>
    </r>
    <r>
      <rPr>
        <sz val="9"/>
        <color rgb="FF000000"/>
        <rFont val="맑은 고딕"/>
        <family val="0"/>
        <charset val="1"/>
      </rPr>
      <t xml:space="preserve">)</t>
    </r>
  </si>
  <si>
    <t xml:space="preserve">가입년일</t>
  </si>
  <si>
    <t xml:space="preserve">2025.09.22</t>
  </si>
  <si>
    <t xml:space="preserve">2004.10.25</t>
  </si>
  <si>
    <t xml:space="preserve">2009.09.30</t>
  </si>
  <si>
    <t xml:space="preserve">2019.01.16</t>
  </si>
  <si>
    <t xml:space="preserve">2014.09.03</t>
  </si>
  <si>
    <t xml:space="preserve">2004.08.30</t>
  </si>
  <si>
    <t xml:space="preserve">2013.12.20</t>
  </si>
  <si>
    <t xml:space="preserve">2020.02.21</t>
  </si>
  <si>
    <t xml:space="preserve">2020.08.20</t>
  </si>
  <si>
    <t xml:space="preserve">2020.08.19</t>
  </si>
  <si>
    <t xml:space="preserve">2010.01.15</t>
  </si>
  <si>
    <t xml:space="preserve">2023.11.06</t>
  </si>
  <si>
    <t xml:space="preserve">만기일자</t>
  </si>
  <si>
    <t xml:space="preserve">9999.12.31</t>
  </si>
  <si>
    <t xml:space="preserve">9999.09.28</t>
  </si>
  <si>
    <t xml:space="preserve">2043.08.30</t>
  </si>
  <si>
    <t xml:space="preserve">2063.12.20</t>
  </si>
  <si>
    <t xml:space="preserve">2054.02.21</t>
  </si>
  <si>
    <t xml:space="preserve">2050.08.20</t>
  </si>
  <si>
    <t xml:space="preserve">2043.08.19</t>
  </si>
  <si>
    <t xml:space="preserve">2044.01.15</t>
  </si>
  <si>
    <t xml:space="preserve">2073.08.20</t>
  </si>
  <si>
    <t xml:space="preserve">2033.11.06</t>
  </si>
  <si>
    <t xml:space="preserve">총납입기간</t>
  </si>
  <si>
    <r>
      <rPr>
        <sz val="9"/>
        <color rgb="FF000000"/>
        <rFont val="맑은 고딕"/>
        <family val="0"/>
        <charset val="1"/>
      </rPr>
      <t xml:space="preserve">5</t>
    </r>
    <r>
      <rPr>
        <sz val="9"/>
        <color rgb="FF000000"/>
        <rFont val="Noto Sans CJK SC"/>
        <family val="2"/>
      </rPr>
      <t xml:space="preserve">년납 </t>
    </r>
    <r>
      <rPr>
        <sz val="9"/>
        <color rgb="FF000000"/>
        <rFont val="맑은 고딕"/>
        <family val="0"/>
        <charset val="1"/>
      </rPr>
      <t xml:space="preserve">(11/60)</t>
    </r>
  </si>
  <si>
    <r>
      <rPr>
        <sz val="9"/>
        <color rgb="FF000000"/>
        <rFont val="맑은 고딕"/>
        <family val="0"/>
        <charset val="1"/>
      </rPr>
      <t xml:space="preserve">20</t>
    </r>
    <r>
      <rPr>
        <sz val="9"/>
        <color rgb="FF000000"/>
        <rFont val="Noto Sans CJK SC"/>
        <family val="2"/>
      </rPr>
      <t xml:space="preserve">년납 </t>
    </r>
    <r>
      <rPr>
        <sz val="9"/>
        <color rgb="FF000000"/>
        <rFont val="맑은 고딕"/>
        <family val="0"/>
        <charset val="1"/>
      </rPr>
      <t xml:space="preserve">(240/240)</t>
    </r>
  </si>
  <si>
    <r>
      <rPr>
        <sz val="9"/>
        <color rgb="FF000000"/>
        <rFont val="맑은 고딕"/>
        <family val="0"/>
        <charset val="1"/>
      </rPr>
      <t xml:space="preserve">20</t>
    </r>
    <r>
      <rPr>
        <sz val="9"/>
        <color rgb="FF000000"/>
        <rFont val="Noto Sans CJK SC"/>
        <family val="2"/>
      </rPr>
      <t xml:space="preserve">년납 </t>
    </r>
    <r>
      <rPr>
        <sz val="9"/>
        <color rgb="FF000000"/>
        <rFont val="맑은 고딕"/>
        <family val="0"/>
        <charset val="1"/>
      </rPr>
      <t xml:space="preserve">(202/240)</t>
    </r>
  </si>
  <si>
    <r>
      <rPr>
        <sz val="9"/>
        <color rgb="FF000000"/>
        <rFont val="맑은 고딕"/>
        <family val="0"/>
        <charset val="1"/>
      </rPr>
      <t xml:space="preserve">10</t>
    </r>
    <r>
      <rPr>
        <sz val="9"/>
        <color rgb="FF000000"/>
        <rFont val="Noto Sans CJK SC"/>
        <family val="2"/>
      </rPr>
      <t xml:space="preserve">년납 </t>
    </r>
    <r>
      <rPr>
        <sz val="9"/>
        <color rgb="FF000000"/>
        <rFont val="맑은 고딕"/>
        <family val="0"/>
        <charset val="1"/>
      </rPr>
      <t xml:space="preserve">(91/120)</t>
    </r>
  </si>
  <si>
    <r>
      <rPr>
        <sz val="9"/>
        <color rgb="FF000000"/>
        <rFont val="맑은 고딕"/>
        <family val="0"/>
        <charset val="1"/>
      </rPr>
      <t xml:space="preserve">10</t>
    </r>
    <r>
      <rPr>
        <sz val="9"/>
        <color rgb="FF000000"/>
        <rFont val="Noto Sans CJK SC"/>
        <family val="2"/>
      </rPr>
      <t xml:space="preserve">년납 </t>
    </r>
    <r>
      <rPr>
        <sz val="9"/>
        <color rgb="FF000000"/>
        <rFont val="맑은 고딕"/>
        <family val="0"/>
        <charset val="1"/>
      </rPr>
      <t xml:space="preserve">(120/120)</t>
    </r>
  </si>
  <si>
    <r>
      <rPr>
        <sz val="9"/>
        <color rgb="FF0070C0"/>
        <rFont val="맑은 고딕"/>
        <family val="0"/>
        <charset val="1"/>
      </rPr>
      <t xml:space="preserve">39</t>
    </r>
    <r>
      <rPr>
        <sz val="9"/>
        <color rgb="FF0070C0"/>
        <rFont val="Noto Sans CJK SC"/>
        <family val="2"/>
      </rPr>
      <t xml:space="preserve">년납 </t>
    </r>
    <r>
      <rPr>
        <sz val="9"/>
        <color rgb="FF0070C0"/>
        <rFont val="맑은 고딕"/>
        <family val="0"/>
        <charset val="1"/>
      </rPr>
      <t xml:space="preserve">(263/468)</t>
    </r>
  </si>
  <si>
    <r>
      <rPr>
        <sz val="9"/>
        <color rgb="FF000000"/>
        <rFont val="맑은 고딕"/>
        <family val="0"/>
        <charset val="1"/>
      </rPr>
      <t xml:space="preserve">10</t>
    </r>
    <r>
      <rPr>
        <sz val="9"/>
        <color rgb="FF000000"/>
        <rFont val="Noto Sans CJK SC"/>
        <family val="2"/>
      </rPr>
      <t xml:space="preserve">년납 </t>
    </r>
    <r>
      <rPr>
        <sz val="9"/>
        <color rgb="FF000000"/>
        <rFont val="맑은 고딕"/>
        <family val="0"/>
        <charset val="1"/>
      </rPr>
      <t xml:space="preserve">(78/120)</t>
    </r>
  </si>
  <si>
    <r>
      <rPr>
        <sz val="9"/>
        <color rgb="FF0070C0"/>
        <rFont val="맑은 고딕"/>
        <family val="0"/>
        <charset val="1"/>
      </rPr>
      <t xml:space="preserve">30</t>
    </r>
    <r>
      <rPr>
        <sz val="9"/>
        <color rgb="FF0070C0"/>
        <rFont val="Noto Sans CJK SC"/>
        <family val="2"/>
      </rPr>
      <t xml:space="preserve">년납 </t>
    </r>
    <r>
      <rPr>
        <sz val="9"/>
        <color rgb="FF0070C0"/>
        <rFont val="맑은 고딕"/>
        <family val="0"/>
        <charset val="1"/>
      </rPr>
      <t xml:space="preserve">(72/360)</t>
    </r>
  </si>
  <si>
    <r>
      <rPr>
        <sz val="9"/>
        <color rgb="FF000000"/>
        <rFont val="맑은 고딕"/>
        <family val="0"/>
        <charset val="1"/>
      </rPr>
      <t xml:space="preserve">10</t>
    </r>
    <r>
      <rPr>
        <sz val="9"/>
        <color rgb="FF000000"/>
        <rFont val="Noto Sans CJK SC"/>
        <family val="2"/>
      </rPr>
      <t xml:space="preserve">년납 </t>
    </r>
    <r>
      <rPr>
        <sz val="9"/>
        <color rgb="FF000000"/>
        <rFont val="맑은 고딕"/>
        <family val="0"/>
        <charset val="1"/>
      </rPr>
      <t xml:space="preserve">(72/120)</t>
    </r>
  </si>
  <si>
    <r>
      <rPr>
        <sz val="9"/>
        <color rgb="FF0070C0"/>
        <rFont val="맑은 고딕"/>
        <family val="0"/>
        <charset val="1"/>
      </rPr>
      <t xml:space="preserve">20</t>
    </r>
    <r>
      <rPr>
        <sz val="9"/>
        <color rgb="FF0070C0"/>
        <rFont val="Noto Sans CJK SC"/>
        <family val="2"/>
      </rPr>
      <t xml:space="preserve">년납 </t>
    </r>
    <r>
      <rPr>
        <sz val="9"/>
        <color rgb="FF0070C0"/>
        <rFont val="맑은 고딕"/>
        <family val="0"/>
        <charset val="1"/>
      </rPr>
      <t xml:space="preserve">(72/240)</t>
    </r>
  </si>
  <si>
    <r>
      <rPr>
        <sz val="9"/>
        <color rgb="FF0070C0"/>
        <rFont val="맑은 고딕"/>
        <family val="0"/>
        <charset val="1"/>
      </rPr>
      <t xml:space="preserve">10</t>
    </r>
    <r>
      <rPr>
        <sz val="9"/>
        <color rgb="FF0070C0"/>
        <rFont val="Noto Sans CJK SC"/>
        <family val="2"/>
      </rPr>
      <t xml:space="preserve">년납 </t>
    </r>
    <r>
      <rPr>
        <sz val="9"/>
        <color rgb="FF0070C0"/>
        <rFont val="맑은 고딕"/>
        <family val="0"/>
        <charset val="1"/>
      </rPr>
      <t xml:space="preserve">(33/120)</t>
    </r>
  </si>
  <si>
    <t xml:space="preserve">사망</t>
  </si>
  <si>
    <t xml:space="preserve">일반사망</t>
  </si>
  <si>
    <t xml:space="preserve">중대한CI적용</t>
  </si>
  <si>
    <t xml:space="preserve">질병사망(80세)</t>
  </si>
  <si>
    <t xml:space="preserve">교통상해사망</t>
  </si>
  <si>
    <t xml:space="preserve">상해사망</t>
  </si>
  <si>
    <t xml:space="preserve">후유장애</t>
  </si>
  <si>
    <t xml:space="preserve">상해후유3%</t>
  </si>
  <si>
    <t xml:space="preserve">상해후유80%</t>
  </si>
  <si>
    <t xml:space="preserve">질병후유3%</t>
  </si>
  <si>
    <t xml:space="preserve">질병후유80%</t>
  </si>
  <si>
    <t xml:space="preserve">암</t>
  </si>
  <si>
    <t xml:space="preserve">고액암</t>
  </si>
  <si>
    <t xml:space="preserve">일반암</t>
  </si>
  <si>
    <t xml:space="preserve">중대한 암</t>
  </si>
  <si>
    <t xml:space="preserve">유사암(갑.기.경.제)</t>
  </si>
  <si>
    <t xml:space="preserve">통합전이암</t>
  </si>
  <si>
    <t xml:space="preserve">암주요치료비</t>
  </si>
  <si>
    <t xml:space="preserve">하이클래스(암)</t>
  </si>
  <si>
    <t xml:space="preserve">중입자치료비</t>
  </si>
  <si>
    <t xml:space="preserve">표적항암치료비</t>
  </si>
  <si>
    <t xml:space="preserve">양성자치료</t>
  </si>
  <si>
    <t xml:space="preserve">세기조절치료</t>
  </si>
  <si>
    <t xml:space="preserve">다빈치로봇수술비</t>
  </si>
  <si>
    <t xml:space="preserve">암수술</t>
  </si>
  <si>
    <t xml:space="preserve">암일당</t>
  </si>
  <si>
    <t xml:space="preserve">항암방사선약물</t>
  </si>
  <si>
    <t xml:space="preserve">뇌혈관</t>
  </si>
  <si>
    <t xml:space="preserve">뇌혈관진단비</t>
  </si>
  <si>
    <t xml:space="preserve">뇌졸증진단비</t>
  </si>
  <si>
    <t xml:space="preserve">중대한 뇌졸증</t>
  </si>
  <si>
    <t xml:space="preserve">뇌출혈진단비</t>
  </si>
  <si>
    <t xml:space="preserve">중대한 뇌출혈</t>
  </si>
  <si>
    <t xml:space="preserve">외상성뇌출혈</t>
  </si>
  <si>
    <t xml:space="preserve">산정특례뇌혈관</t>
  </si>
  <si>
    <t xml:space="preserve">2대 주요치료비</t>
  </si>
  <si>
    <t xml:space="preserve">혈전용해치료비</t>
  </si>
  <si>
    <t xml:space="preserve">심장</t>
  </si>
  <si>
    <t xml:space="preserve">협심증</t>
  </si>
  <si>
    <t xml:space="preserve">심부전</t>
  </si>
  <si>
    <t xml:space="preserve">빈맥</t>
  </si>
  <si>
    <t xml:space="preserve">염증</t>
  </si>
  <si>
    <t xml:space="preserve">부정맥</t>
  </si>
  <si>
    <t xml:space="preserve">심근병증</t>
  </si>
  <si>
    <t xml:space="preserve">심장판막</t>
  </si>
  <si>
    <t xml:space="preserve">산정특례심장</t>
  </si>
  <si>
    <r>
      <rPr>
        <b val="true"/>
        <sz val="9"/>
        <color rgb="FF000000"/>
        <rFont val="맑은 고딕"/>
        <family val="3"/>
        <charset val="129"/>
      </rPr>
      <t xml:space="preserve">2</t>
    </r>
    <r>
      <rPr>
        <b val="true"/>
        <sz val="9"/>
        <color rgb="FF000000"/>
        <rFont val="Noto Sans CJK SC"/>
        <family val="2"/>
      </rPr>
      <t xml:space="preserve">대 주요치료비</t>
    </r>
  </si>
  <si>
    <t xml:space="preserve">허혈성 진단비</t>
  </si>
  <si>
    <t xml:space="preserve">급성심근경색</t>
  </si>
  <si>
    <t xml:space="preserve">중대한 급성심근</t>
  </si>
  <si>
    <t xml:space="preserve">일당</t>
  </si>
  <si>
    <t xml:space="preserve">질병일당</t>
  </si>
  <si>
    <t xml:space="preserve">질병수술일당</t>
  </si>
  <si>
    <t xml:space="preserve">질병종합병원일당</t>
  </si>
  <si>
    <t xml:space="preserve">상급병원질병입원일당</t>
  </si>
  <si>
    <t xml:space="preserve">상해일당</t>
  </si>
  <si>
    <t xml:space="preserve">상해수술일당</t>
  </si>
  <si>
    <t xml:space="preserve">간병인</t>
  </si>
  <si>
    <t xml:space="preserve">간병인지원일당</t>
  </si>
  <si>
    <t xml:space="preserve">간호통합병동</t>
  </si>
  <si>
    <r>
      <rPr>
        <b val="true"/>
        <sz val="9"/>
        <color rgb="FF000000"/>
        <rFont val="맑은 고딕"/>
        <family val="3"/>
        <charset val="129"/>
      </rPr>
      <t xml:space="preserve">1</t>
    </r>
    <r>
      <rPr>
        <b val="true"/>
        <sz val="9"/>
        <color rgb="FF000000"/>
        <rFont val="Noto Sans CJK SC"/>
        <family val="2"/>
      </rPr>
      <t xml:space="preserve">인실 종합병원</t>
    </r>
  </si>
  <si>
    <r>
      <rPr>
        <b val="true"/>
        <sz val="9"/>
        <color rgb="FF000000"/>
        <rFont val="맑은 고딕"/>
        <family val="3"/>
        <charset val="129"/>
      </rPr>
      <t xml:space="preserve">1</t>
    </r>
    <r>
      <rPr>
        <b val="true"/>
        <sz val="9"/>
        <color rgb="FF000000"/>
        <rFont val="Noto Sans CJK SC"/>
        <family val="2"/>
      </rPr>
      <t xml:space="preserve">인실 상급병원</t>
    </r>
  </si>
  <si>
    <t xml:space="preserve">질병중환자실</t>
  </si>
  <si>
    <t xml:space="preserve">상해중환자실</t>
  </si>
  <si>
    <t xml:space="preserve">수술</t>
  </si>
  <si>
    <t xml:space="preserve">상해수술비</t>
  </si>
  <si>
    <t xml:space="preserve">중대한상해수술비</t>
  </si>
  <si>
    <t xml:space="preserve">상해 종수술비(1-3종)</t>
  </si>
  <si>
    <t xml:space="preserve">상해 종수술비(1-5종)</t>
  </si>
  <si>
    <t xml:space="preserve">20/50/100/500/1000</t>
  </si>
  <si>
    <t xml:space="preserve">상해 종수술비(1-8종)</t>
  </si>
  <si>
    <t xml:space="preserve">창상봉합술</t>
  </si>
  <si>
    <t xml:space="preserve">골절수술비</t>
  </si>
  <si>
    <r>
      <rPr>
        <b val="true"/>
        <sz val="9"/>
        <color rgb="FF000000"/>
        <rFont val="맑은 고딕"/>
        <family val="3"/>
        <charset val="129"/>
      </rPr>
      <t xml:space="preserve">5</t>
    </r>
    <r>
      <rPr>
        <b val="true"/>
        <sz val="9"/>
        <color rgb="FF000000"/>
        <rFont val="Noto Sans CJK SC"/>
        <family val="2"/>
      </rPr>
      <t xml:space="preserve">대골절수술비</t>
    </r>
  </si>
  <si>
    <t xml:space="preserve">화상수술비</t>
  </si>
  <si>
    <t xml:space="preserve">질병수술비</t>
  </si>
  <si>
    <t xml:space="preserve">질병 종수술비(1-3종)</t>
  </si>
  <si>
    <t xml:space="preserve">질병 종수술비(1-5종)</t>
  </si>
  <si>
    <t xml:space="preserve">질병 종수술비(1-8종)</t>
  </si>
  <si>
    <t xml:space="preserve">뇌혈관수술비</t>
  </si>
  <si>
    <t xml:space="preserve">허혈성수술비</t>
  </si>
  <si>
    <t xml:space="preserve">심장수술비</t>
  </si>
  <si>
    <r>
      <rPr>
        <b val="true"/>
        <sz val="9"/>
        <color rgb="FF000000"/>
        <rFont val="맑은 고딕"/>
        <family val="3"/>
        <charset val="129"/>
      </rPr>
      <t xml:space="preserve">120</t>
    </r>
    <r>
      <rPr>
        <b val="true"/>
        <sz val="9"/>
        <color rgb="FF000000"/>
        <rFont val="Noto Sans CJK SC"/>
        <family val="2"/>
      </rPr>
      <t xml:space="preserve">대수술비</t>
    </r>
  </si>
  <si>
    <r>
      <rPr>
        <b val="true"/>
        <sz val="9"/>
        <color rgb="FF000000"/>
        <rFont val="맑은 고딕"/>
        <family val="3"/>
        <charset val="129"/>
      </rPr>
      <t xml:space="preserve">5</t>
    </r>
    <r>
      <rPr>
        <b val="true"/>
        <sz val="9"/>
        <color rgb="FF000000"/>
        <rFont val="Noto Sans CJK SC"/>
        <family val="2"/>
      </rPr>
      <t xml:space="preserve">대기관 수술비 관혈</t>
    </r>
  </si>
  <si>
    <r>
      <rPr>
        <b val="true"/>
        <sz val="9"/>
        <color rgb="FF000000"/>
        <rFont val="맑은 고딕"/>
        <family val="3"/>
        <charset val="129"/>
      </rPr>
      <t xml:space="preserve">5</t>
    </r>
    <r>
      <rPr>
        <b val="true"/>
        <sz val="9"/>
        <color rgb="FF000000"/>
        <rFont val="Noto Sans CJK SC"/>
        <family val="2"/>
      </rPr>
      <t xml:space="preserve">대기관 수술비 비관혈</t>
    </r>
  </si>
  <si>
    <t xml:space="preserve">운전</t>
  </si>
  <si>
    <t xml:space="preserve">대인</t>
  </si>
  <si>
    <t xml:space="preserve">대물</t>
  </si>
  <si>
    <t xml:space="preserve">합의금</t>
  </si>
  <si>
    <r>
      <rPr>
        <b val="true"/>
        <sz val="9"/>
        <color rgb="FF000000"/>
        <rFont val="맑은 고딕"/>
        <family val="3"/>
        <charset val="129"/>
      </rPr>
      <t xml:space="preserve">6</t>
    </r>
    <r>
      <rPr>
        <b val="true"/>
        <sz val="9"/>
        <color rgb="FF000000"/>
        <rFont val="Noto Sans CJK SC"/>
        <family val="2"/>
      </rPr>
      <t xml:space="preserve">주미만</t>
    </r>
  </si>
  <si>
    <t xml:space="preserve">변호사</t>
  </si>
  <si>
    <t xml:space="preserve">자부상</t>
  </si>
  <si>
    <t xml:space="preserve">골절</t>
  </si>
  <si>
    <t xml:space="preserve">골절(치아파절포함)</t>
  </si>
  <si>
    <t xml:space="preserve">골절(치아파절제외)</t>
  </si>
  <si>
    <r>
      <rPr>
        <b val="true"/>
        <sz val="9"/>
        <color rgb="FF000000"/>
        <rFont val="맑은 고딕"/>
        <family val="3"/>
        <charset val="129"/>
      </rPr>
      <t xml:space="preserve">5</t>
    </r>
    <r>
      <rPr>
        <b val="true"/>
        <sz val="9"/>
        <color rgb="FF000000"/>
        <rFont val="Noto Sans CJK SC"/>
        <family val="2"/>
      </rPr>
      <t xml:space="preserve">대골절진단비</t>
    </r>
  </si>
  <si>
    <t xml:space="preserve">응급실</t>
  </si>
  <si>
    <t xml:space="preserve">응급실(응급)</t>
  </si>
  <si>
    <t xml:space="preserve">독감</t>
  </si>
  <si>
    <t xml:space="preserve">화상</t>
  </si>
  <si>
    <t xml:space="preserve">화상진단비</t>
  </si>
  <si>
    <t xml:space="preserve">중증화상진단비</t>
  </si>
  <si>
    <t xml:space="preserve">깁스</t>
  </si>
  <si>
    <t xml:space="preserve">반깁스</t>
  </si>
  <si>
    <t xml:space="preserve">깁스진단비</t>
  </si>
  <si>
    <t xml:space="preserve">실손</t>
  </si>
  <si>
    <t xml:space="preserve">입원</t>
  </si>
  <si>
    <t xml:space="preserve">통원</t>
  </si>
  <si>
    <t xml:space="preserve">약값</t>
  </si>
  <si>
    <t xml:space="preserve">MRI/도수치료/비급여주사</t>
  </si>
  <si>
    <t xml:space="preserve">300/0/0</t>
  </si>
  <si>
    <t xml:space="preserve">상해의료비</t>
  </si>
  <si>
    <t xml:space="preserve">일배책</t>
  </si>
  <si>
    <t xml:space="preserve">일상배상책임</t>
  </si>
  <si>
    <t xml:space="preserve">바름 보장분석 법칙 v2 — 이 표본에 내장 (2026.06.09)</t>
  </si>
  <si>
    <t xml:space="preserve">1</t>
  </si>
  <si>
    <t xml:space="preserve">폼 무변형: 이 표본을 열어 값만 채운다. 새 워크북·행삭제·카테고리축소 금지. 추가만(그룹 안 행삽입), 표 밖 금지.</t>
  </si>
  <si>
    <t xml:space="preserve">2</t>
  </si>
  <si>
    <t xml:space="preserve">새 고객 입력 시 이전 고객 값 전부 zero화(이 표본에서 새로 시작).</t>
  </si>
  <si>
    <t xml:space="preserve">3</t>
  </si>
  <si>
    <t xml:space="preserve">열=계약(최대 50). 행=담보(15구분·82행). 끝열=합계.</t>
  </si>
  <si>
    <t xml:space="preserve">4</t>
  </si>
  <si>
    <t xml:space="preserve">합계 = 세로(계약별) SUM. 4페이지 한장보장 값을 합계칸 직박음 금지(눈속임). 계약별 칸을 채워야 합계가 산다.</t>
  </si>
  <si>
    <t xml:space="preserve">5</t>
  </si>
  <si>
    <t xml:space="preserve">계약별 대조 필수: A담보가 B회사 칸으로 가면 안 됨.</t>
  </si>
  <si>
    <t xml:space="preserve">6</t>
  </si>
  <si>
    <r>
      <rPr>
        <sz val="11"/>
        <color rgb="FF000000"/>
        <rFont val="맑은 고딕"/>
        <family val="3"/>
        <charset val="129"/>
      </rPr>
      <t xml:space="preserve">1~5</t>
    </r>
    <r>
      <rPr>
        <sz val="11"/>
        <color rgb="FF000000"/>
        <rFont val="Noto Sans CJK SC"/>
        <family val="2"/>
      </rPr>
      <t xml:space="preserve">종 수술비 </t>
    </r>
    <r>
      <rPr>
        <sz val="11"/>
        <color rgb="FF000000"/>
        <rFont val="맑은 고딕"/>
        <family val="3"/>
        <charset val="129"/>
      </rPr>
      <t xml:space="preserve">= </t>
    </r>
    <r>
      <rPr>
        <sz val="11"/>
        <color rgb="FF000000"/>
        <rFont val="Noto Sans CJK SC"/>
        <family val="2"/>
      </rPr>
      <t xml:space="preserve">질병</t>
    </r>
    <r>
      <rPr>
        <sz val="11"/>
        <color rgb="FF000000"/>
        <rFont val="맑은 고딕"/>
        <family val="3"/>
        <charset val="129"/>
      </rPr>
      <t xml:space="preserve">/</t>
    </r>
    <r>
      <rPr>
        <sz val="11"/>
        <color rgb="FF000000"/>
        <rFont val="Noto Sans CJK SC"/>
        <family val="2"/>
      </rPr>
      <t xml:space="preserve">상해 각 </t>
    </r>
    <r>
      <rPr>
        <sz val="11"/>
        <color rgb="FF000000"/>
        <rFont val="맑은 고딕"/>
        <family val="3"/>
        <charset val="129"/>
      </rPr>
      <t xml:space="preserve">1</t>
    </r>
    <r>
      <rPr>
        <sz val="11"/>
        <color rgb="FF000000"/>
        <rFont val="Noto Sans CJK SC"/>
        <family val="2"/>
      </rPr>
      <t xml:space="preserve">행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Noto Sans CJK SC"/>
        <family val="2"/>
      </rPr>
      <t xml:space="preserve">슬래시 가로표기 </t>
    </r>
    <r>
      <rPr>
        <sz val="11"/>
        <color rgb="FF000000"/>
        <rFont val="맑은 고딕"/>
        <family val="3"/>
        <charset val="129"/>
      </rPr>
      <t xml:space="preserve">"20/50/100/500/1000", </t>
    </r>
    <r>
      <rPr>
        <sz val="11"/>
        <color rgb="FF000000"/>
        <rFont val="Noto Sans CJK SC"/>
        <family val="2"/>
      </rPr>
      <t xml:space="preserve">합계도 종별</t>
    </r>
    <r>
      <rPr>
        <sz val="11"/>
        <color rgb="FF000000"/>
        <rFont val="맑은 고딕"/>
        <family val="3"/>
        <charset val="129"/>
      </rPr>
      <t xml:space="preserve">.</t>
    </r>
  </si>
  <si>
    <t xml:space="preserve">7</t>
  </si>
  <si>
    <t xml:space="preserve">갱신/비갱신: ①갱신형명시→갱신 ②운전자→비갱신 ③9999→비갱신 ④총회차240초과→비갱신 ⑤납입년수≠보장년수→비갱신.</t>
  </si>
  <si>
    <t xml:space="preserve">8</t>
  </si>
  <si>
    <t xml:space="preserve">색: 갱신=파랑 / 비갱신=검정 / 미가입=빨강. 구분셀=연두. 헤더 갱신블루·비갱신레드·완납진녹.</t>
  </si>
  <si>
    <t xml:space="preserve">9</t>
  </si>
  <si>
    <t xml:space="preserve">심장=담보명 직행(허혈성→허혈성칸, 전파금지). 불확정은 기재+[확인].</t>
  </si>
  <si>
    <t xml:space="preserve">10</t>
  </si>
  <si>
    <r>
      <rPr>
        <sz val="11"/>
        <color rgb="FF000000"/>
        <rFont val="맑은 고딕"/>
        <family val="3"/>
        <charset val="129"/>
      </rPr>
      <t xml:space="preserve">9999(</t>
    </r>
    <r>
      <rPr>
        <sz val="11"/>
        <color rgb="FF000000"/>
        <rFont val="Noto Sans CJK SC"/>
        <family val="2"/>
      </rPr>
      <t xml:space="preserve">생보</t>
    </r>
    <r>
      <rPr>
        <sz val="11"/>
        <color rgb="FF000000"/>
        <rFont val="맑은 고딕"/>
        <family val="3"/>
        <charset val="129"/>
      </rPr>
      <t xml:space="preserve">)=</t>
    </r>
    <r>
      <rPr>
        <sz val="11"/>
        <color rgb="FF000000"/>
        <rFont val="Noto Sans CJK SC"/>
        <family val="2"/>
      </rPr>
      <t xml:space="preserve">종신 → 일반사망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종신</t>
    </r>
    <r>
      <rPr>
        <sz val="11"/>
        <color rgb="FF000000"/>
        <rFont val="맑은 고딕"/>
        <family val="3"/>
        <charset val="129"/>
      </rPr>
      <t xml:space="preserve">)+</t>
    </r>
    <r>
      <rPr>
        <sz val="11"/>
        <color rgb="FF000000"/>
        <rFont val="Noto Sans CJK SC"/>
        <family val="2"/>
      </rPr>
      <t xml:space="preserve">상해사망</t>
    </r>
    <r>
      <rPr>
        <sz val="11"/>
        <color rgb="FF000000"/>
        <rFont val="맑은 고딕"/>
        <family val="3"/>
        <charset val="129"/>
      </rPr>
      <t xml:space="preserve">. </t>
    </r>
    <r>
      <rPr>
        <sz val="11"/>
        <color rgb="FF000000"/>
        <rFont val="Noto Sans CJK SC"/>
        <family val="2"/>
      </rPr>
      <t xml:space="preserve">손보 질병사망</t>
    </r>
    <r>
      <rPr>
        <sz val="11"/>
        <color rgb="FF000000"/>
        <rFont val="맑은 고딕"/>
        <family val="3"/>
        <charset val="129"/>
      </rPr>
      <t xml:space="preserve">=80</t>
    </r>
    <r>
      <rPr>
        <sz val="11"/>
        <color rgb="FF000000"/>
        <rFont val="Noto Sans CJK SC"/>
        <family val="2"/>
      </rPr>
      <t xml:space="preserve">세칸</t>
    </r>
    <r>
      <rPr>
        <sz val="11"/>
        <color rgb="FF000000"/>
        <rFont val="맑은 고딕"/>
        <family val="3"/>
        <charset val="129"/>
      </rPr>
      <t xml:space="preserve">.</t>
    </r>
  </si>
  <si>
    <t xml:space="preserve">11</t>
  </si>
  <si>
    <t xml:space="preserve">추측 금지: 모르면 빈칸+[확인]. 채우는 게 최악, 비우고 메모가 차선, 확정 기재가 최선. 자동천장 95%.</t>
  </si>
  <si>
    <t xml:space="preserve">12</t>
  </si>
  <si>
    <t xml:space="preserve">엑셀=원천, PPT는 완성 엑셀만 읽음(PDF→엑셀→PPT). 제출 전 렌더검수 통과한 것만.</t>
  </si>
  <si>
    <r>
      <rPr>
        <sz val="11"/>
        <color rgb="FF000000"/>
        <rFont val="Noto Sans CJK SC"/>
        <family val="2"/>
      </rPr>
      <t xml:space="preserve">이영태 </t>
    </r>
    <r>
      <rPr>
        <sz val="11"/>
        <color rgb="FF000000"/>
        <rFont val="맑은 고딕"/>
        <family val="3"/>
        <charset val="129"/>
      </rPr>
      <t xml:space="preserve">· </t>
    </r>
    <r>
      <rPr>
        <sz val="11"/>
        <color rgb="FF000000"/>
        <rFont val="Noto Sans CJK SC"/>
        <family val="2"/>
      </rPr>
      <t xml:space="preserve">자동분석 </t>
    </r>
    <r>
      <rPr>
        <sz val="11"/>
        <color rgb="FF000000"/>
        <rFont val="맑은 고딕"/>
        <family val="3"/>
        <charset val="129"/>
      </rPr>
      <t xml:space="preserve">2026.07.30</t>
    </r>
  </si>
  <si>
    <r>
      <rPr>
        <b val="true"/>
        <sz val="13"/>
        <color rgb="FFC0392B"/>
        <rFont val="Cambria"/>
        <family val="0"/>
        <charset val="1"/>
      </rPr>
      <t xml:space="preserve">★ AIA / AIG / </t>
    </r>
    <r>
      <rPr>
        <b val="true"/>
        <sz val="13"/>
        <color rgb="FFC0392B"/>
        <rFont val="Noto Sans CJK SC"/>
        <family val="2"/>
      </rPr>
      <t xml:space="preserve">라이나생명은 </t>
    </r>
    <r>
      <rPr>
        <b val="true"/>
        <sz val="13"/>
        <color rgb="FFC0392B"/>
        <rFont val="Cambria"/>
        <family val="0"/>
        <charset val="1"/>
      </rPr>
      <t xml:space="preserve">"</t>
    </r>
    <r>
      <rPr>
        <b val="true"/>
        <sz val="13"/>
        <color rgb="FFC0392B"/>
        <rFont val="Noto Sans CJK SC"/>
        <family val="2"/>
      </rPr>
      <t xml:space="preserve">뇌 범위 부분</t>
    </r>
    <r>
      <rPr>
        <b val="true"/>
        <sz val="13"/>
        <color rgb="FFC0392B"/>
        <rFont val="Cambria"/>
        <family val="0"/>
        <charset val="1"/>
      </rPr>
      <t xml:space="preserve">" </t>
    </r>
    <r>
      <rPr>
        <b val="true"/>
        <sz val="13"/>
        <color rgb="FFC0392B"/>
        <rFont val="Noto Sans CJK SC"/>
        <family val="2"/>
      </rPr>
      <t xml:space="preserve">꼭 체크하기 </t>
    </r>
    <r>
      <rPr>
        <b val="true"/>
        <sz val="13"/>
        <color rgb="FFC0392B"/>
        <rFont val="Cambria"/>
        <family val="0"/>
        <charset val="1"/>
      </rPr>
      <t xml:space="preserve">(</t>
    </r>
    <r>
      <rPr>
        <b val="true"/>
        <sz val="13"/>
        <color rgb="FFC0392B"/>
        <rFont val="Noto Sans CJK SC"/>
        <family val="2"/>
      </rPr>
      <t xml:space="preserve">세부가입현황에서 뇌혈관 </t>
    </r>
    <r>
      <rPr>
        <b val="true"/>
        <sz val="13"/>
        <color rgb="FFC0392B"/>
        <rFont val="Cambria"/>
        <family val="0"/>
        <charset val="1"/>
      </rPr>
      <t xml:space="preserve">/ </t>
    </r>
    <r>
      <rPr>
        <b val="true"/>
        <sz val="13"/>
        <color rgb="FFC0392B"/>
        <rFont val="Noto Sans CJK SC"/>
        <family val="2"/>
      </rPr>
      <t xml:space="preserve">뇌졸증 </t>
    </r>
    <r>
      <rPr>
        <b val="true"/>
        <sz val="13"/>
        <color rgb="FFC0392B"/>
        <rFont val="Cambria"/>
        <family val="0"/>
        <charset val="1"/>
      </rPr>
      <t xml:space="preserve">/ </t>
    </r>
    <r>
      <rPr>
        <b val="true"/>
        <sz val="13"/>
        <color rgb="FFC0392B"/>
        <rFont val="Noto Sans CJK SC"/>
        <family val="2"/>
      </rPr>
      <t xml:space="preserve">뇌출혈 축 대조</t>
    </r>
    <r>
      <rPr>
        <b val="true"/>
        <sz val="13"/>
        <color rgb="FFC0392B"/>
        <rFont val="Cambria"/>
        <family val="0"/>
        <charset val="1"/>
      </rPr>
      <t xml:space="preserve">)</t>
    </r>
  </si>
  <si>
    <t xml:space="preserve">계약수</t>
  </si>
  <si>
    <t xml:space="preserve">월보험료합계</t>
  </si>
  <si>
    <r>
      <rPr>
        <sz val="11"/>
        <color rgb="FF000000"/>
        <rFont val="맑은 고딕"/>
        <family val="3"/>
        <charset val="129"/>
      </rPr>
      <t xml:space="preserve">3,763,727</t>
    </r>
    <r>
      <rPr>
        <sz val="11"/>
        <color rgb="FF000000"/>
        <rFont val="Noto Sans CJK SC"/>
        <family val="2"/>
      </rPr>
      <t xml:space="preserve">원</t>
    </r>
  </si>
  <si>
    <r>
      <rPr>
        <b val="true"/>
        <sz val="12"/>
        <color rgb="FFC0392B"/>
        <rFont val="Cambria"/>
        <family val="0"/>
        <charset val="1"/>
      </rPr>
      <t xml:space="preserve">[</t>
    </r>
    <r>
      <rPr>
        <b val="true"/>
        <sz val="12"/>
        <color rgb="FFC0392B"/>
        <rFont val="Noto Sans CJK SC"/>
        <family val="2"/>
      </rPr>
      <t xml:space="preserve">검산</t>
    </r>
    <r>
      <rPr>
        <b val="true"/>
        <sz val="12"/>
        <color rgb="FFC0392B"/>
        <rFont val="Cambria"/>
        <family val="0"/>
        <charset val="1"/>
      </rPr>
      <t xml:space="preserve">] </t>
    </r>
    <r>
      <rPr>
        <b val="true"/>
        <sz val="12"/>
        <color rgb="FFC0392B"/>
        <rFont val="Noto Sans CJK SC"/>
        <family val="2"/>
      </rPr>
      <t xml:space="preserve">한장보장표 대비 불일치 </t>
    </r>
    <r>
      <rPr>
        <b val="true"/>
        <sz val="12"/>
        <color rgb="FFC0392B"/>
        <rFont val="Cambria"/>
        <family val="0"/>
        <charset val="1"/>
      </rPr>
      <t xml:space="preserve">8</t>
    </r>
    <r>
      <rPr>
        <b val="true"/>
        <sz val="12"/>
        <color rgb="FFC0392B"/>
        <rFont val="Noto Sans CJK SC"/>
        <family val="2"/>
      </rPr>
      <t xml:space="preserve">건 — 아래 </t>
    </r>
    <r>
      <rPr>
        <b val="true"/>
        <sz val="12"/>
        <color rgb="FFC0392B"/>
        <rFont val="Cambria"/>
        <family val="0"/>
        <charset val="1"/>
      </rPr>
      <t xml:space="preserve">[</t>
    </r>
    <r>
      <rPr>
        <b val="true"/>
        <sz val="12"/>
        <color rgb="FFC0392B"/>
        <rFont val="Noto Sans CJK SC"/>
        <family val="2"/>
      </rPr>
      <t xml:space="preserve">검산</t>
    </r>
    <r>
      <rPr>
        <b val="true"/>
        <sz val="12"/>
        <color rgb="FFC0392B"/>
        <rFont val="Cambria"/>
        <family val="0"/>
        <charset val="1"/>
      </rPr>
      <t xml:space="preserve">] </t>
    </r>
    <r>
      <rPr>
        <b val="true"/>
        <sz val="12"/>
        <color rgb="FFC0392B"/>
        <rFont val="Noto Sans CJK SC"/>
        <family val="2"/>
      </rPr>
      <t xml:space="preserve">표 확인</t>
    </r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</si>
  <si>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확인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자동매핑 실패 담보 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마스터 미수록 또는 약관 확인 후 수기 기재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</si>
  <si>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회사</t>
  </si>
  <si>
    <t xml:space="preserve">담보명</t>
  </si>
  <si>
    <r>
      <rPr>
        <sz val="11"/>
        <color rgb="FF000000"/>
        <rFont val="Noto Sans CJK SC"/>
        <family val="2"/>
      </rPr>
      <t xml:space="preserve">금액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만원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</si>
  <si>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보장범위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참고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</si>
  <si>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약관검색</t>
  </si>
  <si>
    <t xml:space="preserve">삼성생명</t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</si>
  <si>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접힘의심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無상해치료비보장 </t>
    </r>
    <r>
      <rPr>
        <sz val="11"/>
        <color rgb="FF000000"/>
        <rFont val="맑은 고딕"/>
        <family val="3"/>
        <charset val="129"/>
      </rPr>
      <t xml:space="preserve">III </t>
    </r>
    <r>
      <rPr>
        <sz val="11"/>
        <color rgb="FF000000"/>
        <rFont val="Noto Sans CJK SC"/>
        <family val="2"/>
      </rPr>
      <t xml:space="preserve">（본인）</t>
    </r>
  </si>
  <si>
    <r>
      <rPr>
        <sz val="11"/>
        <color rgb="FF000000"/>
        <rFont val="Noto Sans CJK SC"/>
        <family val="2"/>
      </rPr>
      <t xml:space="preserve">담보 접미어 </t>
    </r>
    <r>
      <rPr>
        <sz val="11"/>
        <color rgb="FF000000"/>
        <rFont val="맑은 고딕"/>
        <family val="3"/>
        <charset val="129"/>
      </rPr>
      <t xml:space="preserve">2</t>
    </r>
    <r>
      <rPr>
        <sz val="11"/>
        <color rgb="FF000000"/>
        <rFont val="Noto Sans CJK SC"/>
        <family val="2"/>
      </rPr>
      <t xml:space="preserve">회 </t>
    </r>
    <r>
      <rPr>
        <sz val="11"/>
        <color rgb="FF000000"/>
        <rFont val="맑은 고딕"/>
        <family val="3"/>
        <charset val="129"/>
      </rPr>
      <t xml:space="preserve">= </t>
    </r>
    <r>
      <rPr>
        <sz val="11"/>
        <color rgb="FF000000"/>
        <rFont val="Noto Sans CJK SC"/>
        <family val="2"/>
      </rPr>
      <t xml:space="preserve">두 담보 뭉침 의심 → 별첨 원문 대조 필요</t>
    </r>
  </si>
  <si>
    <t xml:space="preserve">https://search.naver.com/search.naver?query=%EC%82%BC%EC%84%B1%EC%83%9D%EB%AA%85%20%20%5B%EC%A0%91%ED%9E%98%EC%9D%98%EC%8B%AC%5D%20%E7%84%A1%EC%83%81%ED%95%B4%EC%B9%98%EB%A3%8C%20%EC%95%BD%EA%B4%80%20%EB%B3%B4%EC%9E%A5%EB%82%B4%EC%9A%A9</t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</si>
  <si>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확인</t>
    </r>
    <r>
      <rPr>
        <sz val="11"/>
        <color rgb="FF000000"/>
        <rFont val="맑은 고딕"/>
        <family val="3"/>
        <charset val="129"/>
      </rPr>
      <t xml:space="preserve">] CI </t>
    </r>
    <r>
      <rPr>
        <sz val="11"/>
        <color rgb="FF000000"/>
        <rFont val="Noto Sans CJK SC"/>
        <family val="2"/>
      </rPr>
      <t xml:space="preserve">선지급률</t>
    </r>
  </si>
  <si>
    <r>
      <rPr>
        <sz val="11"/>
        <color rgb="FF000000"/>
        <rFont val="Noto Sans CJK SC"/>
        <family val="2"/>
      </rPr>
      <t xml:space="preserve">세부가입현황 사망 </t>
    </r>
    <r>
      <rPr>
        <sz val="11"/>
        <color rgb="FF000000"/>
        <rFont val="맑은 고딕"/>
        <family val="3"/>
        <charset val="129"/>
      </rPr>
      <t xml:space="preserve">5,000.0 · </t>
    </r>
    <r>
      <rPr>
        <sz val="11"/>
        <color rgb="FF000000"/>
        <rFont val="Noto Sans CJK SC"/>
        <family val="2"/>
      </rPr>
      <t xml:space="preserve">담보군값 </t>
    </r>
    <r>
      <rPr>
        <sz val="11"/>
        <color rgb="FF000000"/>
        <rFont val="맑은 고딕"/>
        <family val="3"/>
        <charset val="129"/>
      </rPr>
      <t xml:space="preserve">[14000, 9050, 6000, 5000, 4000, 3500] — 50%/80% </t>
    </r>
    <r>
      <rPr>
        <sz val="11"/>
        <color rgb="FF000000"/>
        <rFont val="Noto Sans CJK SC"/>
        <family val="2"/>
      </rPr>
      <t xml:space="preserve">미해당</t>
    </r>
    <r>
      <rPr>
        <sz val="11"/>
        <color rgb="FF000000"/>
        <rFont val="맑은 고딕"/>
        <family val="3"/>
        <charset val="129"/>
      </rPr>
      <t xml:space="preserve">. </t>
    </r>
    <r>
      <rPr>
        <sz val="11"/>
        <color rgb="FF000000"/>
        <rFont val="Noto Sans CJK SC"/>
        <family val="2"/>
      </rPr>
      <t xml:space="preserve">상세내역에서 선지급형 대조 요망</t>
    </r>
  </si>
  <si>
    <t xml:space="preserve">https://search.naver.com/search.naver?query=%EC%82%BC%EC%84%B1%EC%83%9D%EB%AA%85%20%E7%84%A1%EC%82%BC%EC%84%B1%EB%A6%AC%EB%B9%99%EC%BC%80%EC%96%B4%EF%BC%88%EC%A2%852%EB%B9%84%EC%9D%BC%EC%8B%9C%EC%9A%B0%EB%9F%89%EF%BC%891.%20%5B%ED%99%95%EC%9D%B8%5D%20CI%20%EC%84%A0%EC%A7%80%EA%B8%89%EB%A5%A0%20%EC%95%BD%EA%B4%80%20%EB%B3%B4%EC%9E%A5%EB%82%B4%EC%9A%A9</t>
  </si>
  <si>
    <r>
      <rPr>
        <sz val="11"/>
        <color rgb="FF000000"/>
        <rFont val="Noto Sans CJK SC"/>
        <family val="2"/>
      </rPr>
      <t xml:space="preserve">주계약</t>
    </r>
    <r>
      <rPr>
        <sz val="11"/>
        <color rgb="FF000000"/>
        <rFont val="맑은 고딕"/>
        <family val="3"/>
        <charset val="129"/>
      </rPr>
      <t xml:space="preserve">(CI 80/50%</t>
    </r>
    <r>
      <rPr>
        <sz val="11"/>
        <color rgb="FF000000"/>
        <rFont val="Noto Sans CJK SC"/>
        <family val="2"/>
      </rPr>
      <t xml:space="preserve">판별실패 </t>
    </r>
    <r>
      <rPr>
        <sz val="11"/>
        <color rgb="FF000000"/>
        <rFont val="맑은 고딕"/>
        <family val="3"/>
        <charset val="129"/>
      </rPr>
      <t xml:space="preserve">[])</t>
    </r>
  </si>
  <si>
    <r>
      <rPr>
        <sz val="11"/>
        <color rgb="FF000000"/>
        <rFont val="맑은 고딕"/>
        <family val="3"/>
        <charset val="129"/>
      </rPr>
      <t xml:space="preserve">CI </t>
    </r>
    <r>
      <rPr>
        <sz val="11"/>
        <color rgb="FF000000"/>
        <rFont val="Noto Sans CJK SC"/>
        <family val="2"/>
      </rPr>
      <t xml:space="preserve">본체비율 불명 → 좌측표 수기</t>
    </r>
  </si>
  <si>
    <t xml:space="preserve">https://search.naver.com/search.naver?query=%EC%82%BC%EC%84%B1%EC%83%9D%EB%AA%85%20%E7%84%A1%EC%82%BC%EC%84%B1%EB%A6%AC%EB%B9%99%EC%BC%80%EC%96%B4%EF%BC%88%EC%A2%852%EB%B9%84%EC%9D%BC%EC%8B%9C%EC%9A%B0%EB%9F%89%EF%BC%891.%20%EC%A3%BC%EA%B3%84%EC%95%BD%28CI%2080/50%20%EC%95%BD%EA%B4%80%20%EB%B3%B4%EC%9E%A5%EB%82%B4%EC%9A%A9</t>
  </si>
  <si>
    <r>
      <rPr>
        <sz val="11"/>
        <color rgb="FF000000"/>
        <rFont val="Noto Sans CJK SC"/>
        <family val="2"/>
      </rPr>
      <t xml:space="preserve">無삼성리빙케어 （종</t>
    </r>
    <r>
      <rPr>
        <sz val="11"/>
        <color rgb="FF000000"/>
        <rFont val="맑은 고딕"/>
        <family val="3"/>
        <charset val="129"/>
      </rPr>
      <t xml:space="preserve">2 </t>
    </r>
    <r>
      <rPr>
        <sz val="11"/>
        <color rgb="FF000000"/>
        <rFont val="Noto Sans CJK SC"/>
        <family val="2"/>
      </rPr>
      <t xml:space="preserve">비일시우량）</t>
    </r>
    <r>
      <rPr>
        <sz val="11"/>
        <color rgb="FF000000"/>
        <rFont val="맑은 고딕"/>
        <family val="3"/>
        <charset val="129"/>
      </rPr>
      <t xml:space="preserve">1.3</t>
    </r>
  </si>
  <si>
    <t xml:space="preserve">https://search.naver.com/search.naver?query=%EC%82%BC%EC%84%B1%EC%83%9D%EB%AA%85%20%E7%84%A1%EC%82%BC%EC%84%B1%EB%A6%AC%EB%B9%99%EC%BC%80%EC%96%B4%EF%BC%88%EC%A2%852%EB%B9%84%EC%9D%BC%EC%8B%9C%EC%9A%B0%EB%9F%89%EF%BC%891.%20%E7%84%A1%EC%82%BC%EC%84%B1%EB%A6%AC%EB%B9%99%EC%BC%80%EC%96%B4%20%EF%BC%88%EC%A2%852%20%20%EC%95%BD%EA%B4%80%20%EB%B3%B4%EC%9E%A5%EB%82%B4%EC%9A%A9</t>
  </si>
  <si>
    <r>
      <rPr>
        <sz val="11"/>
        <color rgb="FF000000"/>
        <rFont val="Noto Sans CJK SC"/>
        <family val="2"/>
      </rPr>
      <t xml:space="preserve">無삼성리빙케어 （종</t>
    </r>
    <r>
      <rPr>
        <sz val="11"/>
        <color rgb="FF000000"/>
        <rFont val="맑은 고딕"/>
        <family val="3"/>
        <charset val="129"/>
      </rPr>
      <t xml:space="preserve">2</t>
    </r>
    <r>
      <rPr>
        <sz val="11"/>
        <color rgb="FF000000"/>
        <rFont val="Noto Sans CJK SC"/>
        <family val="2"/>
      </rPr>
      <t xml:space="preserve">비일시우량）</t>
    </r>
    <r>
      <rPr>
        <sz val="11"/>
        <color rgb="FF000000"/>
        <rFont val="맑은 고딕"/>
        <family val="3"/>
        <charset val="129"/>
      </rPr>
      <t xml:space="preserve">1.3</t>
    </r>
  </si>
  <si>
    <t xml:space="preserve">https://search.naver.com/search.naver?query=%EC%82%BC%EC%84%B1%EC%83%9D%EB%AA%85%20%E7%84%A1%EC%82%BC%EC%84%B1%EB%A6%AC%EB%B9%99%EC%BC%80%EC%96%B4%EF%BC%88%EC%A2%852%EB%B9%84%EC%9D%BC%EC%8B%9C%EC%9A%B0%EB%9F%89%EF%BC%891.%20%E7%84%A1%EC%82%BC%EC%84%B1%EB%A6%AC%EB%B9%99%EC%BC%80%EC%96%B4%20%EF%BC%88%EC%A2%852%EB%B9%84%20%EC%95%BD%EA%B4%80%20%EB%B3%B4%EC%9E%A5%EB%82%B4%EC%9A%A9</t>
  </si>
  <si>
    <t xml:space="preserve">無재해상해 （본인）</t>
  </si>
  <si>
    <t xml:space="preserve">https://search.naver.com/search.naver?query=%EC%82%BC%EC%84%B1%EC%83%9D%EB%AA%85%20%E7%84%A1%EC%82%BC%EC%84%B1%EB%A6%AC%EB%B9%99%EC%BC%80%EC%96%B4%EF%BC%88%EC%A2%852%EB%B9%84%EC%9D%BC%EC%8B%9C%EC%9A%B0%EB%9F%89%EF%BC%891.%20%E7%84%A1%EC%9E%AC%ED%95%B4%EC%83%81%ED%95%B4%20%EF%BC%88%EB%B3%B8%EC%9D%B8%EF%BC%89%20%EC%95%BD%EA%B4%80%20%EB%B3%B4%EC%9E%A5%EB%82%B4%EC%9A%A9</t>
  </si>
  <si>
    <r>
      <rPr>
        <sz val="11"/>
        <color rgb="FF000000"/>
        <rFont val="Noto Sans CJK SC"/>
        <family val="2"/>
      </rPr>
      <t xml:space="preserve">無삼성리 빙케어 （종</t>
    </r>
    <r>
      <rPr>
        <sz val="11"/>
        <color rgb="FF000000"/>
        <rFont val="맑은 고딕"/>
        <family val="3"/>
        <charset val="129"/>
      </rPr>
      <t xml:space="preserve">2 </t>
    </r>
    <r>
      <rPr>
        <sz val="11"/>
        <color rgb="FF000000"/>
        <rFont val="Noto Sans CJK SC"/>
        <family val="2"/>
      </rPr>
      <t xml:space="preserve">비일시우량） </t>
    </r>
    <r>
      <rPr>
        <sz val="11"/>
        <color rgb="FF000000"/>
        <rFont val="맑은 고딕"/>
        <family val="3"/>
        <charset val="129"/>
      </rPr>
      <t xml:space="preserve">1.3</t>
    </r>
  </si>
  <si>
    <t xml:space="preserve">https://search.naver.com/search.naver?query=%EC%82%BC%EC%84%B1%EC%83%9D%EB%AA%85%20%E7%84%A1%EC%82%BC%EC%84%B1%EB%A6%AC%EB%B9%99%EC%BC%80%EC%96%B4%EF%BC%88%EC%A2%852%EB%B9%84%EC%9D%BC%EC%8B%9C%EC%9A%B0%EB%9F%89%EF%BC%891.%20%E7%84%A1%EC%82%BC%EC%84%B1%EB%A6%AC%20%EB%B9%99%EC%BC%80%EC%96%B4%20%EF%BC%88%EC%A2%852%20%EC%95%BD%EA%B4%80%20%EB%B3%B4%EC%9E%A5%EB%82%B4%EC%9A%A9</t>
  </si>
  <si>
    <t xml:space="preserve">無리빙케어보장특약</t>
  </si>
  <si>
    <t xml:space="preserve">https://search.naver.com/search.naver?query=%EC%82%BC%EC%84%B1%EC%83%9D%EB%AA%85%20%E7%84%A1%EC%82%BC%EC%84%B1%EB%A6%AC%EB%B9%99%EC%BC%80%EC%96%B4%EF%BC%88%EC%A2%852%EB%B9%84%EC%9D%BC%EC%8B%9C%EC%9A%B0%EB%9F%89%EF%BC%891.%20%E7%84%A1%EB%A6%AC%EB%B9%99%EC%BC%80%EC%96%B4%EB%B3%B4%EC%9E%A5%ED%8A%B9%EC%95%BD%20%EC%95%BD%EA%B4%80%20%EB%B3%B4%EC%9E%A5%EB%82%B4%EC%9A%A9</t>
  </si>
  <si>
    <r>
      <rPr>
        <sz val="11"/>
        <color rgb="FF000000"/>
        <rFont val="Noto Sans CJK SC"/>
        <family val="2"/>
      </rPr>
      <t xml:space="preserve">無상해치료비보장 </t>
    </r>
    <r>
      <rPr>
        <sz val="11"/>
        <color rgb="FF000000"/>
        <rFont val="맑은 고딕"/>
        <family val="3"/>
        <charset val="129"/>
      </rPr>
      <t xml:space="preserve">III </t>
    </r>
    <r>
      <rPr>
        <sz val="11"/>
        <color rgb="FF000000"/>
        <rFont val="Noto Sans CJK SC"/>
        <family val="2"/>
      </rPr>
      <t xml:space="preserve">（본인）</t>
    </r>
  </si>
  <si>
    <t xml:space="preserve">https://search.naver.com/search.naver?query=%EC%82%BC%EC%84%B1%EC%83%9D%EB%AA%85%20%E7%84%A1%EC%82%BC%EC%84%B1%EB%A6%AC%EB%B9%99%EC%BC%80%EC%96%B4%EF%BC%88%EC%A2%852%EB%B9%84%EC%9D%BC%EC%8B%9C%EC%9A%B0%EB%9F%89%EF%BC%891.%20%E7%84%A1%EC%83%81%ED%95%B4%EC%B9%98%EB%A3%8C%EB%B9%84%EB%B3%B4%EC%9E%A5%20III%20%EC%95%BD%EA%B4%80%20%EB%B3%B4%EC%9E%A5%EB%82%B4%EC%9A%A9</t>
  </si>
  <si>
    <t xml:space="preserve">無수술보장 （본인）</t>
  </si>
  <si>
    <t xml:space="preserve">https://search.naver.com/search.naver?query=%EC%82%BC%EC%84%B1%EC%83%9D%EB%AA%85%20%E7%84%A1%EC%82%BC%EC%84%B1%EB%A6%AC%EB%B9%99%EC%BC%80%EC%96%B4%EF%BC%88%EC%A2%852%EB%B9%84%EC%9D%BC%EC%8B%9C%EC%9A%B0%EB%9F%89%EF%BC%891.%20%E7%84%A1%EC%88%98%EC%88%A0%EB%B3%B4%EC%9E%A5%20%EF%BC%88%EB%B3%B8%EC%9D%B8%EF%BC%89%20%EC%95%BD%EA%B4%80%20%EB%B3%B4%EC%9E%A5%EB%82%B4%EC%9A%A9</t>
  </si>
  <si>
    <t xml:space="preserve">無입원 （본인）</t>
  </si>
  <si>
    <t xml:space="preserve">https://search.naver.com/search.naver?query=%EC%82%BC%EC%84%B1%EC%83%9D%EB%AA%85%20%E7%84%A1%EC%82%BC%EC%84%B1%EB%A6%AC%EB%B9%99%EC%BC%80%EC%96%B4%EF%BC%88%EC%A2%852%EB%B9%84%EC%9D%BC%EC%8B%9C%EC%9A%B0%EB%9F%89%EF%BC%891.%20%E7%84%A1%EC%9E%85%EC%9B%90%20%EF%BC%88%EB%B3%B8%EC%9D%B8%EF%BC%89%20%EC%95%BD%EA%B4%80%20%EB%B3%B4%EC%9E%A5%EB%82%B4%EC%9A%A9</t>
  </si>
  <si>
    <t xml:space="preserve">無특정질병입원</t>
  </si>
  <si>
    <t xml:space="preserve">https://search.naver.com/search.naver?query=%EC%82%BC%EC%84%B1%EC%83%9D%EB%AA%85%20%E7%84%A1%EC%82%BC%EC%84%B1%EB%A6%AC%EB%B9%99%EC%BC%80%EC%96%B4%EF%BC%88%EC%A2%852%EB%B9%84%EC%9D%BC%EC%8B%9C%EC%9A%B0%EB%9F%89%EF%BC%891.%20%E7%84%A1%ED%8A%B9%EC%A0%95%EC%A7%88%EB%B3%91%EC%9E%85%EC%9B%90%20%EC%95%BD%EA%B4%80%20%EB%B3%B4%EC%9E%A5%EB%82%B4%EC%9A%A9</t>
  </si>
  <si>
    <t xml:space="preserve">無방사선치료암 （본인）</t>
  </si>
  <si>
    <t xml:space="preserve">https://search.naver.com/search.naver?query=%EC%82%BC%EC%84%B1%EC%83%9D%EB%AA%85%20%E7%84%A1%EC%82%BC%EC%84%B1%EB%A6%AC%EB%B9%99%EC%BC%80%EC%96%B4%EF%BC%88%EC%A2%852%EB%B9%84%EC%9D%BC%EC%8B%9C%EC%9A%B0%EB%9F%89%EF%BC%891.%20%E7%84%A1%EB%B0%A9%EC%82%AC%EC%84%A0%EC%B9%98%EB%A3%8C%EC%95%94%20%EF%BC%88%EB%B3%B8%EC%9D%B8%EF%BC%89%20%EC%95%BD%EA%B4%80%20%EB%B3%B4%EC%9E%A5%EB%82%B4%EC%9A%A9</t>
  </si>
  <si>
    <t xml:space="preserve">교보생명</t>
  </si>
  <si>
    <r>
      <rPr>
        <sz val="11"/>
        <color rgb="FF000000"/>
        <rFont val="Noto Sans CJK SC"/>
        <family val="2"/>
      </rPr>
      <t xml:space="preserve">주계약</t>
    </r>
    <r>
      <rPr>
        <sz val="11"/>
        <color rgb="FF000000"/>
        <rFont val="맑은 고딕"/>
        <family val="3"/>
        <charset val="129"/>
      </rPr>
      <t xml:space="preserve">_</t>
    </r>
    <r>
      <rPr>
        <sz val="11"/>
        <color rgb="FF000000"/>
        <rFont val="Noto Sans CJK SC"/>
        <family val="2"/>
      </rPr>
      <t xml:space="preserve">교보</t>
    </r>
    <r>
      <rPr>
        <sz val="11"/>
        <color rgb="FF000000"/>
        <rFont val="맑은 고딕"/>
        <family val="3"/>
        <charset val="129"/>
      </rPr>
      <t xml:space="preserve">VIP</t>
    </r>
    <r>
      <rPr>
        <sz val="11"/>
        <color rgb="FF000000"/>
        <rFont val="Noto Sans CJK SC"/>
        <family val="2"/>
      </rPr>
      <t xml:space="preserve">변액유니버셜종신보험 </t>
    </r>
    <r>
      <rPr>
        <sz val="11"/>
        <color rgb="FF000000"/>
        <rFont val="맑은 고딕"/>
        <family val="3"/>
        <charset val="129"/>
      </rPr>
      <t xml:space="preserve">III </t>
    </r>
    <r>
      <rPr>
        <sz val="11"/>
        <color rgb="FF000000"/>
        <rFont val="Noto Sans CJK SC"/>
        <family val="2"/>
      </rPr>
      <t xml:space="preserve">（보장형［기본형］</t>
    </r>
    <r>
      <rPr>
        <sz val="11"/>
        <color rgb="FF000000"/>
        <rFont val="맑은 고딕"/>
        <family val="3"/>
        <charset val="129"/>
      </rPr>
      <t xml:space="preserve">,</t>
    </r>
    <r>
      <rPr>
        <sz val="11"/>
        <color rgb="FF000000"/>
        <rFont val="Noto Sans CJK SC"/>
        <family val="2"/>
      </rPr>
      <t xml:space="preserve">건강체）</t>
    </r>
  </si>
  <si>
    <t xml:space="preserve">https://search.naver.com/search.naver?query=%EA%B5%90%EB%B3%B4%EC%83%9D%EB%AA%85%20%EB%AC%B4%EB%B0%B0%EB%8B%B9%EA%B5%90%EB%B3%B4VIP%EB%B3%80%EC%95%A1%EC%9C%A0%EB%8B%88%20%EB%B2%84%EC%85%9C%EC%A2%85%EC%8B%A0%EB%B3%B4%20%EC%A3%BC%EA%B3%84%EC%95%BD_%EA%B5%90%EB%B3%B4VIP%EB%B3%80%EC%95%A1%EC%9C%A0%20%EC%95%BD%EA%B4%80%20%EB%B3%B4%EC%9E%A5%EB%82%B4%EC%9A%A9</t>
  </si>
  <si>
    <t xml:space="preserve">플러스수술특약（갱신형）</t>
  </si>
  <si>
    <t xml:space="preserve">https://search.naver.com/search.naver?query=%EA%B5%90%EB%B3%B4%EC%83%9D%EB%AA%85%20%EB%AC%B4%EB%B0%B0%EB%8B%B9%EA%B5%90%EB%B3%B4%EC%8B%A4%EC%86%8D%EC%9E%88%EB%8A%94%EC%A2%85%EC%8B%A0%EB%B3%B4%ED%97%98%20%EF%BC%88%EB%B3%B4%EC%A6%9D%20%ED%94%8C%EB%9F%AC%EC%8A%A4%EC%88%98%EC%88%A0%ED%8A%B9%EC%95%BD%EF%BC%88%EA%B0%B1%EC%8B%A0%ED%98%95%EF%BC%89%20%EC%95%BD%EA%B4%80%20%EB%B3%B4%EC%9E%A5%EB%82%B4%EC%9A%A9</t>
  </si>
  <si>
    <r>
      <rPr>
        <sz val="11"/>
        <color rgb="FF000000"/>
        <rFont val="맑은 고딕"/>
        <family val="3"/>
        <charset val="129"/>
      </rPr>
      <t xml:space="preserve">KDB</t>
    </r>
    <r>
      <rPr>
        <sz val="11"/>
        <color rgb="FF000000"/>
        <rFont val="Noto Sans CJK SC"/>
        <family val="2"/>
      </rPr>
      <t xml:space="preserve">생명</t>
    </r>
  </si>
  <si>
    <t xml:space="preserve">위험등급별 일사보험금</t>
  </si>
  <si>
    <t xml:space="preserve">https://search.naver.com/search.naver?query=KDB%EC%83%9D%EB%AA%85%20%EF%BC%88%EB%AC%B4%EF%BC%89KDB%20%ED%8C%8C%EC%9B%8C%EC%A0%80%EC%B6%95%EC%97%B0%EA%B8%88%EB%B3%B4%ED%97%98%20%EC%9C%84%ED%97%98%EB%93%B1%EA%B8%89%EB%B3%84%20%EC%9D%BC%EC%82%AC%EB%B3%B4%ED%97%98%EA%B8%88%20%EC%95%BD%EA%B4%80%20%EB%B3%B4%EC%9E%A5%EB%82%B4%EC%9A%A9</t>
  </si>
  <si>
    <t xml:space="preserve">위험등급별 재사보험금</t>
  </si>
  <si>
    <t xml:space="preserve">https://search.naver.com/search.naver?query=KDB%EC%83%9D%EB%AA%85%20%EF%BC%88%EB%AC%B4%EF%BC%89KDB%20%ED%8C%8C%EC%9B%8C%EC%A0%80%EC%B6%95%EC%97%B0%EA%B8%88%EB%B3%B4%ED%97%98%20%EC%9C%84%ED%97%98%EB%93%B1%EA%B8%89%EB%B3%84%20%EC%9E%AC%EC%82%AC%EB%B3%B4%ED%97%98%EA%B8%88%20%EC%95%BD%EA%B4%80%20%EB%B3%B4%EC%9E%A5%EB%82%B4%EC%9A%A9</t>
  </si>
  <si>
    <t xml:space="preserve">현대해상</t>
  </si>
  <si>
    <r>
      <rPr>
        <sz val="11"/>
        <color rgb="FF000000"/>
        <rFont val="Noto Sans CJK SC"/>
        <family val="2"/>
      </rPr>
      <t xml:space="preserve">장기요양（</t>
    </r>
    <r>
      <rPr>
        <sz val="11"/>
        <color rgb="FF000000"/>
        <rFont val="맑은 고딕"/>
        <family val="3"/>
        <charset val="129"/>
      </rPr>
      <t xml:space="preserve">1 </t>
    </r>
    <r>
      <rPr>
        <sz val="11"/>
        <color rgb="FF000000"/>
        <rFont val="Noto Sans CJK SC"/>
        <family val="2"/>
      </rPr>
      <t xml:space="preserve">등급） 담보</t>
    </r>
  </si>
  <si>
    <t xml:space="preserve">https://search.naver.com/search.naver?query=%ED%98%84%EB%8C%80%ED%95%B4%EC%83%81%20%EB%AC%B4%EB%B0%B0%EB%8B%B9100%EC%84%B8%EC%8B%9C%EB%8C%80%EA%B0%84%EB%B3%91%EB%B3%B4%ED%97%98%20%EF%BC%88Hi1%20%EC%9E%A5%EA%B8%B0%EC%9A%94%EC%96%91%EF%BC%881%20%EB%93%B1%EA%B8%89%EF%BC%89%20%EB%8B%B4%20%EC%95%BD%EA%B4%80%20%EB%B3%B4%EC%9E%A5%EB%82%B4%EC%9A%A9</t>
  </si>
  <si>
    <r>
      <rPr>
        <sz val="11"/>
        <color rgb="FF000000"/>
        <rFont val="Noto Sans CJK SC"/>
        <family val="2"/>
      </rPr>
      <t xml:space="preserve">장기요양간병지원금（</t>
    </r>
    <r>
      <rPr>
        <sz val="11"/>
        <color rgb="FF000000"/>
        <rFont val="맑은 고딕"/>
        <family val="3"/>
        <charset val="129"/>
      </rPr>
      <t xml:space="preserve">1 </t>
    </r>
    <r>
      <rPr>
        <sz val="11"/>
        <color rgb="FF000000"/>
        <rFont val="Noto Sans CJK SC"/>
        <family val="2"/>
      </rPr>
      <t xml:space="preserve">〜</t>
    </r>
    <r>
      <rPr>
        <sz val="11"/>
        <color rgb="FF000000"/>
        <rFont val="맑은 고딕"/>
        <family val="3"/>
        <charset val="129"/>
      </rPr>
      <t xml:space="preserve">2</t>
    </r>
    <r>
      <rPr>
        <sz val="11"/>
        <color rgb="FF000000"/>
        <rFont val="Noto Sans CJK SC"/>
        <family val="2"/>
      </rPr>
      <t xml:space="preserve">등급） 담보</t>
    </r>
  </si>
  <si>
    <t xml:space="preserve">https://search.naver.com/search.naver?query=%ED%98%84%EB%8C%80%ED%95%B4%EC%83%81%20%EB%AC%B4%EB%B0%B0%EB%8B%B9100%EC%84%B8%EC%8B%9C%EB%8C%80%EA%B0%84%EB%B3%91%EB%B3%B4%ED%97%98%20%EF%BC%88Hi1%20%EC%9E%A5%EA%B8%B0%EC%9A%94%EC%96%91%EA%B0%84%EB%B3%91%EC%A7%80%EC%9B%90%EA%B8%88%EF%BC%881%20%20%EC%95%BD%EA%B4%80%20%EB%B3%B4%EC%9E%A5%EB%82%B4%EC%9A%A9</t>
  </si>
  <si>
    <r>
      <rPr>
        <sz val="11"/>
        <color rgb="FF000000"/>
        <rFont val="Noto Sans CJK SC"/>
        <family val="2"/>
      </rPr>
      <t xml:space="preserve">보험료납입지원 （상해후유장해</t>
    </r>
    <r>
      <rPr>
        <sz val="11"/>
        <color rgb="FF000000"/>
        <rFont val="맑은 고딕"/>
        <family val="3"/>
        <charset val="129"/>
      </rPr>
      <t xml:space="preserve">,50% </t>
    </r>
    <r>
      <rPr>
        <sz val="11"/>
        <color rgb="FF000000"/>
        <rFont val="Noto Sans CJK SC"/>
        <family val="2"/>
      </rPr>
      <t xml:space="preserve">이상） 담보</t>
    </r>
  </si>
  <si>
    <t xml:space="preserve">https://search.naver.com/search.naver?query=%ED%98%84%EB%8C%80%ED%95%B4%EC%83%81%20%EB%AC%B4%EB%B0%B0%EB%8B%B9%ED%95%98%EC%9D%B4%EC%B9%B4%EC%9A%B4%EC%A0%84%EC%9E%90%EC%83%81%ED%95%B4%EB%B3%B4%ED%97%98%20%EF%BC%88Hi1%20%EB%B3%B4%ED%97%98%EB%A3%8C%EB%82%A9%EC%9E%85%EC%A7%80%EC%9B%90%20%EF%BC%88%EC%83%81%ED%95%B4%ED%9B%84%20%EC%95%BD%EA%B4%80%20%EB%B3%B4%EC%9E%A5%EB%82%B4%EC%9A%A9</t>
  </si>
  <si>
    <r>
      <rPr>
        <sz val="11"/>
        <color rgb="FF000000"/>
        <rFont val="Noto Sans CJK SC"/>
        <family val="2"/>
      </rPr>
      <t xml:space="preserve">교통상해후유장해 （운전자</t>
    </r>
    <r>
      <rPr>
        <sz val="11"/>
        <color rgb="FF000000"/>
        <rFont val="맑은 고딕"/>
        <family val="3"/>
        <charset val="129"/>
      </rPr>
      <t xml:space="preserve">, 50 % </t>
    </r>
    <r>
      <rPr>
        <sz val="11"/>
        <color rgb="FF000000"/>
        <rFont val="Noto Sans CJK SC"/>
        <family val="2"/>
      </rPr>
      <t xml:space="preserve">이 상） 담보</t>
    </r>
  </si>
  <si>
    <t xml:space="preserve">https://search.naver.com/search.naver?query=%ED%98%84%EB%8C%80%ED%95%B4%EC%83%81%20%EB%AC%B4%EB%B0%B0%EB%8B%B9%ED%95%98%EC%9D%B4%EC%B9%B4%EC%9A%B4%EC%A0%84%EC%9E%90%EC%83%81%ED%95%B4%EB%B3%B4%ED%97%98%20%EF%BC%88Hi1%20%EA%B5%90%ED%86%B5%EC%83%81%ED%95%B4%ED%9B%84%EC%9C%A0%EC%9E%A5%ED%95%B4%20%EF%BC%88%EC%9A%B4%EC%A0%84%20%EC%95%BD%EA%B4%80%20%EB%B3%B4%EC%9E%A5%EB%82%B4%EC%9A%A9</t>
  </si>
  <si>
    <t xml:space="preserve">상해수술담보</t>
  </si>
  <si>
    <t xml:space="preserve">https://search.naver.com/search.naver?query=%ED%98%84%EB%8C%80%ED%95%B4%EC%83%81%20%EB%AC%B4%EB%B0%B0%EB%8B%B9%ED%95%98%EC%9D%B4%EC%B9%B4%EC%9A%B4%EC%A0%84%EC%9E%90%EC%83%81%ED%95%B4%EB%B3%B4%ED%97%98%20%EF%BC%88Hi1%20%EC%83%81%ED%95%B4%EC%88%98%EC%88%A0%EB%8B%B4%EB%B3%B4%20%EC%95%BD%EA%B4%80%20%EB%B3%B4%EC%9E%A5%EB%82%B4%EC%9A%A9</t>
  </si>
  <si>
    <t xml:space="preserve">관절 （무릎 고관절）수술담보</t>
  </si>
  <si>
    <t xml:space="preserve">https://search.naver.com/search.naver?query=%ED%98%84%EB%8C%80%ED%95%B4%EC%83%81%20%EB%AC%B4%EB%B0%B0%EB%8B%B9%ED%95%98%EC%9D%B4%EC%B9%B4%EC%9A%B4%EC%A0%84%EC%9E%90%EC%83%81%ED%95%B4%EB%B3%B4%ED%97%98%20%EF%BC%88Hi1%20%EA%B4%80%EC%A0%88%20%EF%BC%88%EB%AC%B4%EB%A6%8E%20%EA%B3%A0%EA%B4%80%EC%A0%88%EF%BC%89%EC%88%98%20%EC%95%BD%EA%B4%80%20%EB%B3%B4%EC%9E%A5%EB%82%B4%EC%9A%A9</t>
  </si>
  <si>
    <r>
      <rPr>
        <sz val="11"/>
        <color rgb="FF000000"/>
        <rFont val="Noto Sans CJK SC"/>
        <family val="2"/>
      </rPr>
      <t xml:space="preserve">무릎인 대파열</t>
    </r>
    <r>
      <rPr>
        <sz val="11"/>
        <color rgb="FF000000"/>
        <rFont val="맑은 고딕"/>
        <family val="3"/>
        <charset val="129"/>
      </rPr>
      <t xml:space="preserve">/</t>
    </r>
    <r>
      <rPr>
        <sz val="11"/>
        <color rgb="FF000000"/>
        <rFont val="Noto Sans CJK SC"/>
        <family val="2"/>
      </rPr>
      <t xml:space="preserve">연골손상수술담보</t>
    </r>
  </si>
  <si>
    <t xml:space="preserve">https://search.naver.com/search.naver?query=%ED%98%84%EB%8C%80%ED%95%B4%EC%83%81%20%EB%AC%B4%EB%B0%B0%EB%8B%B9%ED%95%98%EC%9D%B4%EC%B9%B4%EC%9A%B4%EC%A0%84%EC%9E%90%EC%83%81%ED%95%B4%EB%B3%B4%ED%97%98%20%EF%BC%88Hi1%20%EB%AC%B4%EB%A6%8E%EC%9D%B8%20%EB%8C%80%ED%8C%8C%EC%97%B4/%EC%97%B0%EA%B3%A8%EC%86%90%EC%83%81%20%EC%95%BD%EA%B4%80%20%EB%B3%B4%EC%9E%A5%EB%82%B4%EC%9A%A9</t>
  </si>
  <si>
    <t xml:space="preserve">아킬레스힘줄손상수술담보</t>
  </si>
  <si>
    <t xml:space="preserve">https://search.naver.com/search.naver?query=%ED%98%84%EB%8C%80%ED%95%B4%EC%83%81%20%EB%AC%B4%EB%B0%B0%EB%8B%B9%ED%95%98%EC%9D%B4%EC%B9%B4%EC%9A%B4%EC%A0%84%EC%9E%90%EC%83%81%ED%95%B4%EB%B3%B4%ED%97%98%20%EF%BC%88Hi1%20%EC%95%84%ED%82%AC%EB%A0%88%EC%8A%A4%ED%9E%98%EC%A4%84%EC%86%90%EC%83%81%EC%88%98%EC%88%A0%EB%8B%B4%EB%B3%B4%20%EC%95%BD%EA%B4%80%20%EB%B3%B4%EC%9E%A5%EB%82%B4%EC%9A%A9</t>
  </si>
  <si>
    <t xml:space="preserve">안면부상해흉터성형수술담보</t>
  </si>
  <si>
    <t xml:space="preserve">https://search.naver.com/search.naver?query=%ED%98%84%EB%8C%80%ED%95%B4%EC%83%81%20%EB%AC%B4%EB%B0%B0%EB%8B%B9%ED%95%98%EC%9D%B4%EC%B9%B4%EC%9A%B4%EC%A0%84%EC%9E%90%EC%83%81%ED%95%B4%EB%B3%B4%ED%97%98%20%EF%BC%88Hi1%20%EC%95%88%EB%A9%B4%EB%B6%80%EC%83%81%ED%95%B4%ED%9D%89%ED%84%B0%EC%84%B1%ED%98%95%EC%88%98%EC%88%A0%EB%8B%B4%20%EC%95%BD%EA%B4%80%20%EB%B3%B4%EC%9E%A5%EB%82%B4%EC%9A%A9</t>
  </si>
  <si>
    <t xml:space="preserve">외상성척추손상수술담보</t>
  </si>
  <si>
    <t xml:space="preserve">https://search.naver.com/search.naver?query=%ED%98%84%EB%8C%80%ED%95%B4%EC%83%81%20%EB%AC%B4%EB%B0%B0%EB%8B%B9%ED%95%98%EC%9D%B4%EC%B9%B4%EC%9A%B4%EC%A0%84%EC%9E%90%EC%83%81%ED%95%B4%EB%B3%B4%ED%97%98%20%EF%BC%88Hi1%20%EC%99%B8%EC%83%81%EC%84%B1%EC%B2%99%EC%B6%94%EC%86%90%EC%83%81%EC%88%98%EC%88%A0%EB%8B%B4%EB%B3%B4%20%EC%95%BD%EA%B4%80%20%EB%B3%B4%EC%9E%A5%EB%82%B4%EC%9A%A9</t>
  </si>
  <si>
    <t xml:space="preserve">인공관절수술담보</t>
  </si>
  <si>
    <t xml:space="preserve">https://search.naver.com/search.naver?query=%ED%98%84%EB%8C%80%ED%95%B4%EC%83%81%20%EB%AC%B4%EB%B0%B0%EB%8B%B9%ED%95%98%EC%9D%B4%EC%B9%B4%EC%9A%B4%EC%A0%84%EC%9E%90%EC%83%81%ED%95%B4%EB%B3%B4%ED%97%98%20%EF%BC%88Hi1%20%EC%9D%B8%EA%B3%B5%EA%B4%80%EC%A0%88%EC%88%98%EC%88%A0%EB%8B%B4%EB%B3%B4%20%EC%95%BD%EA%B4%80%20%EB%B3%B4%EC%9E%A5%EB%82%B4%EC%9A%A9</t>
  </si>
  <si>
    <r>
      <rPr>
        <sz val="11"/>
        <color rgb="FF000000"/>
        <rFont val="Noto Sans CJK SC"/>
        <family val="2"/>
      </rPr>
      <t xml:space="preserve">자동차사고부상（운전자</t>
    </r>
    <r>
      <rPr>
        <sz val="11"/>
        <color rgb="FF000000"/>
        <rFont val="맑은 고딕"/>
        <family val="3"/>
        <charset val="129"/>
      </rPr>
      <t xml:space="preserve">, 1 -5 </t>
    </r>
    <r>
      <rPr>
        <sz val="11"/>
        <color rgb="FF000000"/>
        <rFont val="Noto Sans CJK SC"/>
        <family val="2"/>
      </rPr>
      <t xml:space="preserve">급） 담보</t>
    </r>
  </si>
  <si>
    <t xml:space="preserve">https://search.naver.com/search.naver?query=%ED%98%84%EB%8C%80%ED%95%B4%EC%83%81%20%EB%AC%B4%EB%B0%B0%EB%8B%B9%ED%95%98%EC%9D%B4%EC%B9%B4%EC%9A%B4%EC%A0%84%EC%9E%90%EC%83%81%ED%95%B4%EB%B3%B4%ED%97%98%20%EF%BC%88Hi1%20%EC%9E%90%EB%8F%99%EC%B0%A8%EC%82%AC%EA%B3%A0%EB%B6%80%EC%83%81%EF%BC%88%EC%9A%B4%EC%A0%84%EC%9E%90%2C%20%EC%95%BD%EA%B4%80%20%EB%B3%B4%EC%9E%A5%EB%82%B4%EC%9A%A9</t>
  </si>
  <si>
    <t xml:space="preserve">과실치사상 벌금</t>
  </si>
  <si>
    <t xml:space="preserve">https://search.naver.com/search.naver?query=%ED%98%84%EB%8C%80%ED%95%B4%EC%83%81%20%EB%AC%B4%EB%B0%B0%EB%8B%B9%ED%95%98%EC%9D%B4%EC%B9%B4%EC%9A%B4%EC%A0%84%EC%9E%90%EC%83%81%ED%95%B4%EB%B3%B4%ED%97%98%20%EF%BC%88Hi1%20%EA%B3%BC%EC%8B%A4%EC%B9%98%EC%82%AC%EC%83%81%20%EB%B2%8C%EA%B8%88%20%EC%95%BD%EA%B4%80%20%EB%B3%B4%EC%9E%A5%EB%82%B4%EC%9A%A9</t>
  </si>
  <si>
    <r>
      <rPr>
        <sz val="11"/>
        <color rgb="FF000000"/>
        <rFont val="Noto Sans CJK SC"/>
        <family val="2"/>
      </rPr>
      <t xml:space="preserve">혈관질환（ </t>
    </r>
    <r>
      <rPr>
        <sz val="11"/>
        <color rgb="FF000000"/>
        <rFont val="맑은 고딕"/>
        <family val="3"/>
        <charset val="129"/>
      </rPr>
      <t xml:space="preserve">I </t>
    </r>
    <r>
      <rPr>
        <sz val="11"/>
        <color rgb="FF000000"/>
        <rFont val="Noto Sans CJK SC"/>
        <family val="2"/>
      </rPr>
      <t xml:space="preserve">）진단（갱신형）담보</t>
    </r>
  </si>
  <si>
    <t xml:space="preserve">https://search.naver.com/search.naver?query=%ED%98%84%EB%8C%80%ED%95%B4%EC%83%81%20%EB%AC%B4%EB%B0%B0%EB%8B%B9%EA%B1%B4%EA%B0%95%ED%95%9C%EC%8B%AC%ED%98%88%EC%BC%80%EC%96%B4%EB%B3%B4%ED%97%98%20%EF%BC%88Hi20%20%ED%98%88%EA%B4%80%EC%A7%88%ED%99%98%EF%BC%88%20I%20%EF%BC%89%EC%A7%84%EB%8B%A8%EF%BC%88%20%EC%95%BD%EA%B4%80%20%EB%B3%B4%EC%9E%A5%EB%82%B4%EC%9A%A9</t>
  </si>
  <si>
    <t xml:space="preserve">혈관질환（ᅵᅵ）진단（갱신형）담보</t>
  </si>
  <si>
    <t xml:space="preserve">https://search.naver.com/search.naver?query=%ED%98%84%EB%8C%80%ED%95%B4%EC%83%81%20%EB%AC%B4%EB%B0%B0%EB%8B%B9%EA%B1%B4%EA%B0%95%ED%95%9C%EC%8B%AC%ED%98%88%EC%BC%80%EC%96%B4%EB%B3%B4%ED%97%98%20%EF%BC%88Hi20%20%ED%98%88%EA%B4%80%EC%A7%88%ED%99%98%EF%BC%88%E1%85%B5%E1%85%B5%EF%BC%89%EC%A7%84%EB%8B%A8%EF%BC%88%EA%B0%B1%20%EC%95%BD%EA%B4%80%20%EB%B3%B4%EC%9E%A5%EB%82%B4%EC%9A%A9</t>
  </si>
  <si>
    <r>
      <rPr>
        <sz val="11"/>
        <color rgb="FF000000"/>
        <rFont val="Noto Sans CJK SC"/>
        <family val="2"/>
      </rPr>
      <t xml:space="preserve">혈관질환（특정 </t>
    </r>
    <r>
      <rPr>
        <sz val="11"/>
        <color rgb="FF000000"/>
        <rFont val="맑은 고딕"/>
        <family val="3"/>
        <charset val="129"/>
      </rPr>
      <t xml:space="preserve">II</t>
    </r>
    <r>
      <rPr>
        <sz val="11"/>
        <color rgb="FF000000"/>
        <rFont val="Noto Sans CJK SC"/>
        <family val="2"/>
      </rPr>
      <t xml:space="preserve">）진단（갱신형）담보</t>
    </r>
  </si>
  <si>
    <t xml:space="preserve">https://search.naver.com/search.naver?query=%ED%98%84%EB%8C%80%ED%95%B4%EC%83%81%20%EB%AC%B4%EB%B0%B0%EB%8B%B9%EA%B1%B4%EA%B0%95%ED%95%9C%EC%8B%AC%ED%98%88%EC%BC%80%EC%96%B4%EB%B3%B4%ED%97%98%20%EF%BC%88Hi20%20%ED%98%88%EA%B4%80%EC%A7%88%ED%99%98%EF%BC%88%ED%8A%B9%EC%A0%95%20II%EF%BC%89%EC%A7%84%20%EC%95%BD%EA%B4%80%20%EB%B3%B4%EC%9E%A5%EB%82%B4%EC%9A%A9</t>
  </si>
  <si>
    <r>
      <rPr>
        <sz val="11"/>
        <color rgb="FF000000"/>
        <rFont val="Noto Sans CJK SC"/>
        <family val="2"/>
      </rPr>
      <t xml:space="preserve">혈관질환（특정 </t>
    </r>
    <r>
      <rPr>
        <sz val="11"/>
        <color rgb="FF000000"/>
        <rFont val="맑은 고딕"/>
        <family val="3"/>
        <charset val="129"/>
      </rPr>
      <t xml:space="preserve">I </t>
    </r>
    <r>
      <rPr>
        <sz val="11"/>
        <color rgb="FF000000"/>
        <rFont val="Noto Sans CJK SC"/>
        <family val="2"/>
      </rPr>
      <t xml:space="preserve">）진단（갱신형）담보</t>
    </r>
  </si>
  <si>
    <t xml:space="preserve">https://search.naver.com/search.naver?query=%ED%98%84%EB%8C%80%ED%95%B4%EC%83%81%20%EB%AC%B4%EB%B0%B0%EB%8B%B9%EA%B1%B4%EA%B0%95%ED%95%9C%EC%8B%AC%ED%98%88%EC%BC%80%EC%96%B4%EB%B3%B4%ED%97%98%20%EF%BC%88Hi20%20%ED%98%88%EA%B4%80%EC%A7%88%ED%99%98%EF%BC%88%ED%8A%B9%EC%A0%95%20I%20%EF%BC%89%EC%A7%84%20%EC%95%BD%EA%B4%80%20%EB%B3%B4%EC%9E%A5%EB%82%B4%EC%9A%A9</t>
  </si>
  <si>
    <r>
      <rPr>
        <sz val="11"/>
        <color rgb="FF000000"/>
        <rFont val="Noto Sans CJK SC"/>
        <family val="2"/>
      </rPr>
      <t xml:space="preserve">대혈관질환진단（</t>
    </r>
    <r>
      <rPr>
        <sz val="11"/>
        <color rgb="FF000000"/>
        <rFont val="맑은 고딕"/>
        <family val="3"/>
        <charset val="129"/>
      </rPr>
      <t xml:space="preserve">4</t>
    </r>
    <r>
      <rPr>
        <sz val="11"/>
        <color rgb="FF000000"/>
        <rFont val="Noto Sans CJK SC"/>
        <family val="2"/>
      </rPr>
      <t xml:space="preserve">대혈관질환）（갱신형） 담보</t>
    </r>
  </si>
  <si>
    <t xml:space="preserve">https://search.naver.com/search.naver?query=%ED%98%84%EB%8C%80%ED%95%B4%EC%83%81%20%EB%AC%B4%EB%B0%B0%EB%8B%B9%EA%B1%B4%EA%B0%95%ED%95%9C%EC%8B%AC%ED%98%88%EC%BC%80%EC%96%B4%EB%B3%B4%ED%97%98%20%EF%BC%88Hi20%20%EB%8C%80%ED%98%88%EA%B4%80%EC%A7%88%ED%99%98%EC%A7%84%EB%8B%A8%EF%BC%884%EB%8C%80%ED%98%88%EA%B4%80%20%EC%95%BD%EA%B4%80%20%EB%B3%B4%EC%9E%A5%EB%82%B4%EC%9A%A9</t>
  </si>
  <si>
    <t xml:space="preserve">대혈관질환진단（죽상경화증）（갱신형） 담보</t>
  </si>
  <si>
    <t xml:space="preserve">https://search.naver.com/search.naver?query=%ED%98%84%EB%8C%80%ED%95%B4%EC%83%81%20%EB%AC%B4%EB%B0%B0%EB%8B%B9%EA%B1%B4%EA%B0%95%ED%95%9C%EC%8B%AC%ED%98%88%EC%BC%80%EC%96%B4%EB%B3%B4%ED%97%98%20%EF%BC%88Hi20%20%EB%8C%80%ED%98%88%EA%B4%80%EC%A7%88%ED%99%98%EC%A7%84%EB%8B%A8%EF%BC%88%EC%A3%BD%EC%83%81%EA%B2%BD%ED%99%94%20%EC%95%BD%EA%B4%80%20%EB%B3%B4%EC%9E%A5%EB%82%B4%EC%9A%A9</t>
  </si>
  <si>
    <t xml:space="preserve">https://search.naver.com/search.naver?query=%ED%98%84%EB%8C%80%ED%95%B4%EC%83%81%20%EB%AC%B4%EB%B0%B0%EB%8B%B9%ED%95%98%EC%9D%B4%20%EC%B9%B4%EC%9A%B4%EC%A0%84%EC%9E%90%EC%83%81%ED%95%B4%EB%B3%B4%ED%97%98%20%EF%BC%88Hi%20%EB%B3%B4%ED%97%98%EB%A3%8C%EB%82%A9%EC%9E%85%EC%A7%80%EC%9B%90%20%EF%BC%88%EC%83%81%ED%95%B4%ED%9B%84%20%EC%95%BD%EA%B4%80%20%EB%B3%B4%EC%9E%A5%EB%82%B4%EC%9A%A9</t>
  </si>
  <si>
    <r>
      <rPr>
        <sz val="11"/>
        <color rgb="FF000000"/>
        <rFont val="Noto Sans CJK SC"/>
        <family val="2"/>
      </rPr>
      <t xml:space="preserve">교통상해후유장해 （운전자</t>
    </r>
    <r>
      <rPr>
        <sz val="11"/>
        <color rgb="FF000000"/>
        <rFont val="맑은 고딕"/>
        <family val="3"/>
        <charset val="129"/>
      </rPr>
      <t xml:space="preserve">, 50 % </t>
    </r>
    <r>
      <rPr>
        <sz val="11"/>
        <color rgb="FF000000"/>
        <rFont val="Noto Sans CJK SC"/>
        <family val="2"/>
      </rPr>
      <t xml:space="preserve">이상） 담보</t>
    </r>
  </si>
  <si>
    <t xml:space="preserve">https://search.naver.com/search.naver?query=%ED%98%84%EB%8C%80%ED%95%B4%EC%83%81%20%EB%AC%B4%EB%B0%B0%EB%8B%B9%ED%95%98%EC%9D%B4%20%EC%B9%B4%EC%9A%B4%EC%A0%84%EC%9E%90%EC%83%81%ED%95%B4%EB%B3%B4%ED%97%98%20%EF%BC%88Hi%20%EA%B5%90%ED%86%B5%EC%83%81%ED%95%B4%ED%9B%84%EC%9C%A0%EC%9E%A5%ED%95%B4%20%EF%BC%88%EC%9A%B4%EC%A0%84%20%EC%95%BD%EA%B4%80%20%EB%B3%B4%EC%9E%A5%EB%82%B4%EC%9A%A9</t>
  </si>
  <si>
    <r>
      <rPr>
        <sz val="11"/>
        <color rgb="FF000000"/>
        <rFont val="Noto Sans CJK SC"/>
        <family val="2"/>
      </rPr>
      <t xml:space="preserve">특정감염병 </t>
    </r>
    <r>
      <rPr>
        <sz val="11"/>
        <color rgb="FF000000"/>
        <rFont val="맑은 고딕"/>
        <family val="3"/>
        <charset val="129"/>
      </rPr>
      <t xml:space="preserve">II </t>
    </r>
    <r>
      <rPr>
        <sz val="11"/>
        <color rgb="FF000000"/>
        <rFont val="Noto Sans CJK SC"/>
        <family val="2"/>
      </rPr>
      <t xml:space="preserve">입원일당（</t>
    </r>
    <r>
      <rPr>
        <sz val="11"/>
        <color rgb="FF000000"/>
        <rFont val="맑은 고딕"/>
        <family val="3"/>
        <charset val="129"/>
      </rPr>
      <t xml:space="preserve">1-30</t>
    </r>
    <r>
      <rPr>
        <sz val="11"/>
        <color rgb="FF000000"/>
        <rFont val="Noto Sans CJK SC"/>
        <family val="2"/>
      </rPr>
      <t xml:space="preserve">일）담보</t>
    </r>
  </si>
  <si>
    <t xml:space="preserve">https://search.naver.com/search.naver?query=%ED%98%84%EB%8C%80%ED%95%B4%EC%83%81%20%EB%AC%B4%EB%B0%B0%EB%8B%B9%ED%95%98%EC%9D%B4%20%EC%B9%B4%EC%9A%B4%EC%A0%84%EC%9E%90%EC%83%81%ED%95%B4%EB%B3%B4%ED%97%98%20%EF%BC%88Hi%20%ED%8A%B9%EC%A0%95%EA%B0%90%EC%97%BC%EB%B3%91%20II%20%EC%9E%85%EC%9B%90%EC%9D%BC%20%EC%95%BD%EA%B4%80%20%EB%B3%B4%EC%9E%A5%EB%82%B4%EC%9A%A9</t>
  </si>
  <si>
    <r>
      <rPr>
        <sz val="11"/>
        <color rgb="FF000000"/>
        <rFont val="Noto Sans CJK SC"/>
        <family val="2"/>
      </rPr>
      <t xml:space="preserve">기본계약（자동차사고부상（운전자</t>
    </r>
    <r>
      <rPr>
        <sz val="11"/>
        <color rgb="FF000000"/>
        <rFont val="맑은 고딕"/>
        <family val="3"/>
        <charset val="129"/>
      </rPr>
      <t xml:space="preserve">,1 -7 </t>
    </r>
    <r>
      <rPr>
        <sz val="11"/>
        <color rgb="FF000000"/>
        <rFont val="Noto Sans CJK SC"/>
        <family val="2"/>
      </rPr>
      <t xml:space="preserve">급））</t>
    </r>
  </si>
  <si>
    <t xml:space="preserve">https://search.naver.com/search.naver?query=%ED%98%84%EB%8C%80%ED%95%B4%EC%83%81%20%EB%AC%B4%EB%B0%B0%EB%8B%B9%ED%95%98%EC%9D%B4%20%EC%B9%B4%EC%9A%B4%EC%A0%84%EC%9E%90%EC%83%81%ED%95%B4%EB%B3%B4%ED%97%98%20%EF%BC%88Hi%20%EA%B8%B0%EB%B3%B8%EA%B3%84%EC%95%BD%EF%BC%88%EC%9E%90%EB%8F%99%EC%B0%A8%EC%82%AC%EA%B3%A0%EB%B6%80%EC%83%81%20%EC%95%BD%EA%B4%80%20%EB%B3%B4%EC%9E%A5%EB%82%B4%EC%9A%A9</t>
  </si>
  <si>
    <r>
      <rPr>
        <sz val="11"/>
        <color rgb="FF000000"/>
        <rFont val="Noto Sans CJK SC"/>
        <family val="2"/>
      </rPr>
      <t xml:space="preserve">업무상 과실</t>
    </r>
    <r>
      <rPr>
        <sz val="11"/>
        <color rgb="FF000000"/>
        <rFont val="맑은 고딕"/>
        <family val="3"/>
        <charset val="129"/>
      </rPr>
      <t xml:space="preserve">,</t>
    </r>
    <r>
      <rPr>
        <sz val="11"/>
        <color rgb="FF000000"/>
        <rFont val="Noto Sans CJK SC"/>
        <family val="2"/>
      </rPr>
      <t xml:space="preserve">중과실치사상 벌금</t>
    </r>
  </si>
  <si>
    <t xml:space="preserve">https://search.naver.com/search.naver?query=%ED%98%84%EB%8C%80%ED%95%B4%EC%83%81%20%EB%AC%B4%EB%B0%B0%EB%8B%B9%ED%95%98%EC%9D%B4%20%EC%B9%B4%EC%9A%B4%EC%A0%84%EC%9E%90%EC%83%81%ED%95%B4%EB%B3%B4%ED%97%98%20%EF%BC%88Hi%20%EC%97%85%EB%AC%B4%EC%83%81%20%EA%B3%BC%EC%8B%A4%2C%EC%A4%91%EA%B3%BC%EC%8B%A4%EC%B9%98%EC%82%AC%20%EC%95%BD%EA%B4%80%20%EB%B3%B4%EC%9E%A5%EB%82%B4%EC%9A%A9</t>
  </si>
  <si>
    <t xml:space="preserve">기본계약</t>
  </si>
  <si>
    <t xml:space="preserve">https://search.naver.com/search.naver?query=%ED%98%84%EB%8C%80%ED%95%B4%EC%83%81%20%EB%AC%B4%EB%B0%B0%EB%8B%B9%ED%95%98%EC%9D%B4%20%EB%9D%BC%EC%9D%B4%ED%94%84%ED%8C%8C%EC%9B%8C%20ECO%EC%9A%B4%EC%A0%84%EC%9E%90%20%EA%B8%B0%EB%B3%B8%EA%B3%84%EC%95%BD%20%EC%95%BD%EA%B4%80%20%EB%B3%B4%EC%9E%A5%EB%82%B4%EC%9A%A9</t>
  </si>
  <si>
    <t xml:space="preserve">자동차사고성형수술위로금담보특</t>
  </si>
  <si>
    <t xml:space="preserve">https://search.naver.com/search.naver?query=%ED%98%84%EB%8C%80%ED%95%B4%EC%83%81%20%EB%AC%B4%EB%B0%B0%EB%8B%B9%ED%95%98%EC%9D%B4%20%EB%9D%BC%EC%9D%B4%ED%94%84%ED%8C%8C%EC%9B%8C%20ECO%EC%9A%B4%EC%A0%84%EC%9E%90%20%EC%9E%90%EB%8F%99%EC%B0%A8%EC%82%AC%EA%B3%A0%EC%84%B1%ED%98%95%EC%88%98%EC%88%A0%EC%9C%84%EB%A1%9C%EA%B8%88%20%EC%95%BD%EA%B4%80%20%EB%B3%B4%EC%9E%A5%EB%82%B4%EC%9A%A9</t>
  </si>
  <si>
    <t xml:space="preserve">면허정지위로금담보특별약관</t>
  </si>
  <si>
    <t xml:space="preserve">https://search.naver.com/search.naver?query=%ED%98%84%EB%8C%80%ED%95%B4%EC%83%81%20%EB%AC%B4%EB%B0%B0%EB%8B%B9%ED%95%98%EC%9D%B4%20%EB%9D%BC%EC%9D%B4%ED%94%84%ED%8C%8C%EC%9B%8C%20ECO%EC%9A%B4%EC%A0%84%EC%9E%90%20%EB%A9%B4%ED%97%88%EC%A0%95%EC%A7%80%EC%9C%84%EB%A1%9C%EA%B8%88%EB%8B%B4%EB%B3%B4%ED%8A%B9%EB%B3%84%EC%95%BD%20%EC%95%BD%EA%B4%80%20%EB%B3%B4%EC%9E%A5%EB%82%B4%EC%9A%A9</t>
  </si>
  <si>
    <t xml:space="preserve">면허취소위로금담보특별약관</t>
  </si>
  <si>
    <t xml:space="preserve">https://search.naver.com/search.naver?query=%ED%98%84%EB%8C%80%ED%95%B4%EC%83%81%20%EB%AC%B4%EB%B0%B0%EB%8B%B9%ED%95%98%EC%9D%B4%20%EB%9D%BC%EC%9D%B4%ED%94%84%ED%8C%8C%EC%9B%8C%20ECO%EC%9A%B4%EC%A0%84%EC%9E%90%20%EB%A9%B4%ED%97%88%EC%B7%A8%EC%86%8C%EC%9C%84%EB%A1%9C%EA%B8%88%EB%8B%B4%EB%B3%B4%ED%8A%B9%EB%B3%84%EC%95%BD%20%EC%95%BD%EA%B4%80%20%EB%B3%B4%EC%9E%A5%EB%82%B4%EC%9A%A9</t>
  </si>
  <si>
    <t xml:space="preserve">강력범죄위로금담보특별약관</t>
  </si>
  <si>
    <t xml:space="preserve">https://search.naver.com/search.naver?query=%ED%98%84%EB%8C%80%ED%95%B4%EC%83%81%20%EB%AC%B4%EB%B0%B0%EB%8B%B9%ED%95%98%EC%9D%B4%20%EB%9D%BC%EC%9D%B4%ED%94%84%ED%8C%8C%EC%9B%8C%20ECO%EC%9A%B4%EC%A0%84%EC%9E%90%20%EA%B0%95%EB%A0%A5%EB%B2%94%EC%A3%84%EC%9C%84%EB%A1%9C%EA%B8%88%EB%8B%B4%EB%B3%B4%ED%8A%B9%EB%B3%84%EC%95%BD%20%EC%95%BD%EA%B4%80%20%EB%B3%B4%EC%9E%A5%EB%82%B4%EC%9A%A9</t>
  </si>
  <si>
    <t xml:space="preserve">교통사고처 리 비용담보특별 약관</t>
  </si>
  <si>
    <t xml:space="preserve">https://search.naver.com/search.naver?query=%ED%98%84%EB%8C%80%ED%95%B4%EC%83%81%20%EB%AC%B4%EB%B0%B0%EB%8B%B9%ED%95%98%EC%9D%B4%20%EB%9D%BC%EC%9D%B4%ED%94%84%ED%8C%8C%EC%9B%8C%20ECO%EC%9A%B4%EC%A0%84%EC%9E%90%20%EA%B5%90%ED%86%B5%EC%82%AC%EA%B3%A0%EC%B2%98%20%EB%A6%AC%20%EB%B9%84%EC%9A%A9%EB%8B%B4%EB%B3%B4%20%EC%95%BD%EA%B4%80%20%EB%B3%B4%EC%9E%A5%EB%82%B4%EC%9A%A9</t>
  </si>
  <si>
    <t xml:space="preserve">노약자피해보상위로금담보특별약</t>
  </si>
  <si>
    <t xml:space="preserve">https://search.naver.com/search.naver?query=%ED%98%84%EB%8C%80%ED%95%B4%EC%83%81%20%EB%AC%B4%EB%B0%B0%EB%8B%B9%ED%95%98%EC%9D%B4%20%EB%9D%BC%EC%9D%B4%ED%94%84%ED%8C%8C%EC%9B%8C%20ECO%EC%9A%B4%EC%A0%84%EC%9E%90%20%EB%85%B8%EC%95%BD%EC%9E%90%ED%94%BC%ED%95%B4%EB%B3%B4%EC%83%81%EC%9C%84%EB%A1%9C%EA%B8%88%EB%8B%B4%EB%B3%B4%20%EC%95%BD%EA%B4%80%20%EB%B3%B4%EC%9E%A5%EB%82%B4%EC%9A%A9</t>
  </si>
  <si>
    <t xml:space="preserve">자가용운전자용방어 비용（약식</t>
  </si>
  <si>
    <t xml:space="preserve">https://search.naver.com/search.naver?query=%ED%98%84%EB%8C%80%ED%95%B4%EC%83%81%20%EB%AC%B4%EB%B0%B0%EB%8B%B9%ED%95%98%EC%9D%B4%20%EB%9D%BC%EC%9D%B4%ED%94%84%ED%8C%8C%EC%9B%8C%20ECO%EC%9A%B4%EC%A0%84%EC%9E%90%20%EC%9E%90%EA%B0%80%EC%9A%A9%EC%9A%B4%EC%A0%84%EC%9E%90%EC%9A%A9%EB%B0%A9%EC%96%B4%20%EB%B9%84%EC%9A%A9%20%EC%95%BD%EA%B4%80%20%EB%B3%B4%EC%9E%A5%EB%82%B4%EC%9A%A9</t>
  </si>
  <si>
    <t xml:space="preserve">자가용운전자용방어비용담보특별</t>
  </si>
  <si>
    <t xml:space="preserve">https://search.naver.com/search.naver?query=%ED%98%84%EB%8C%80%ED%95%B4%EC%83%81%20%EB%AC%B4%EB%B0%B0%EB%8B%B9%ED%95%98%EC%9D%B4%20%EB%9D%BC%EC%9D%B4%ED%94%84%ED%8C%8C%EC%9B%8C%20ECO%EC%9A%B4%EC%A0%84%EC%9E%90%20%EC%9E%90%EA%B0%80%EC%9A%A9%EC%9A%B4%EC%A0%84%EC%9E%90%EC%9A%A9%EB%B0%A9%EC%96%B4%EB%B9%84%EC%9A%A9%EB%8B%B4%20%EC%95%BD%EA%B4%80%20%EB%B3%B4%EC%9E%A5%EB%82%B4%EC%9A%A9</t>
  </si>
  <si>
    <t xml:space="preserve">긴급비용담보특별약관</t>
  </si>
  <si>
    <t xml:space="preserve">https://search.naver.com/search.naver?query=%ED%98%84%EB%8C%80%ED%95%B4%EC%83%81%20%EB%AC%B4%EB%B0%B0%EB%8B%B9%ED%95%98%EC%9D%B4%20%EB%9D%BC%EC%9D%B4%ED%94%84%ED%8C%8C%EC%9B%8C%20ECO%EC%9A%B4%EC%A0%84%EC%9E%90%20%EA%B8%B4%EA%B8%89%EB%B9%84%EC%9A%A9%EB%8B%B4%EB%B3%B4%ED%8A%B9%EB%B3%84%EC%95%BD%EA%B4%80%20%EC%95%BD%EA%B4%80%20%EB%B3%B4%EC%9E%A5%EB%82%B4%EC%9A%A9</t>
  </si>
  <si>
    <r>
      <rPr>
        <sz val="11"/>
        <color rgb="FF000000"/>
        <rFont val="Noto Sans CJK SC"/>
        <family val="2"/>
      </rPr>
      <t xml:space="preserve">홀인원축하금（깔때기 홀제오</t>
    </r>
    <r>
      <rPr>
        <sz val="11"/>
        <color rgb="FF000000"/>
        <rFont val="맑은 고딕"/>
        <family val="3"/>
        <charset val="129"/>
      </rPr>
      <t xml:space="preserve">I</t>
    </r>
    <r>
      <rPr>
        <sz val="11"/>
        <color rgb="FF000000"/>
        <rFont val="Noto Sans CJK SC"/>
        <family val="2"/>
      </rPr>
      <t xml:space="preserve">）</t>
    </r>
  </si>
  <si>
    <t xml:space="preserve">https://search.naver.com/search.naver?query=%ED%98%84%EB%8C%80%ED%95%B4%EC%83%81%20%EB%AC%B4%EB%B0%B0%EB%8B%B9%ED%95%98%EC%9D%B4%20%EB%9D%BC%EC%9D%B4%ED%94%84%ED%8C%8C%EC%9B%8C%20ECO%EC%9A%B4%EC%A0%84%EC%9E%90%20%ED%99%80%EC%9D%B8%EC%9B%90%EC%B6%95%ED%95%98%EA%B8%88%EF%BC%88%EA%B9%94%EB%95%8C%EA%B8%B0%20%ED%99%80%20%EC%95%BD%EA%B4%80%20%EB%B3%B4%EC%9E%A5%EB%82%B4%EC%9A%A9</t>
  </si>
  <si>
    <t xml:space="preserve">자가용운전자용생활안정지원금담</t>
  </si>
  <si>
    <t xml:space="preserve">https://search.naver.com/search.naver?query=%ED%98%84%EB%8C%80%ED%95%B4%EC%83%81%20%EB%AC%B4%EB%B0%B0%EB%8B%B9%ED%95%98%EC%9D%B4%20%EB%9D%BC%EC%9D%B4%ED%94%84%ED%8C%8C%EC%9B%8C%20ECO%EC%9A%B4%EC%A0%84%EC%9E%90%20%EC%9E%90%EA%B0%80%EC%9A%A9%EC%9A%B4%EC%A0%84%EC%9E%90%EC%9A%A9%EC%83%9D%ED%99%9C%EC%95%88%EC%A0%95%EC%A7%80%20%EC%95%BD%EA%B4%80%20%EB%B3%B4%EC%9E%A5%EB%82%B4%EC%9A%A9</t>
  </si>
  <si>
    <t xml:space="preserve">애손보</t>
  </si>
  <si>
    <t xml:space="preserve">화재 벌금</t>
  </si>
  <si>
    <t xml:space="preserve">https://search.naver.com/search.naver?query=%EC%95%A0%EC%86%90%EB%B3%B4%20%EC%B0%B8%EC%A2%8B%EC%9D%80%ED%99%94%EC%9E%AC%20%ED%94%8C%EB%9F%AC%EC%8A%A4%EB%B3%B4%EC%9E%A5%EB%B3%B4%ED%97%98%202101%20%ED%99%94%EC%9E%AC%20%EB%B2%8C%EA%B8%88%20%EC%95%BD%EA%B4%80%20%EB%B3%B4%EC%9E%A5%EB%82%B4%EC%9A%A9</t>
  </si>
  <si>
    <t xml:space="preserve">민사소송 법률비용</t>
  </si>
  <si>
    <t xml:space="preserve">https://search.naver.com/search.naver?query=%EC%95%A0%EC%86%90%EB%B3%B4%20%EC%B0%B8%EC%A2%8B%EC%9D%80%ED%99%94%EC%9E%AC%20%ED%94%8C%EB%9F%AC%EC%8A%A4%EB%B3%B4%EC%9E%A5%EB%B3%B4%ED%97%98%202101%20%EB%AF%BC%EC%82%AC%EC%86%8C%EC%86%A1%20%EB%B2%95%EB%A5%A0%EB%B9%84%EC%9A%A9%20%EC%95%BD%EA%B4%80%20%EB%B3%B4%EC%9E%A5%EB%82%B4%EC%9A%A9</t>
  </si>
  <si>
    <t xml:space="preserve">하나손해보험</t>
  </si>
  <si>
    <r>
      <rPr>
        <sz val="11"/>
        <color rgb="FF000000"/>
        <rFont val="Noto Sans CJK SC"/>
        <family val="2"/>
      </rPr>
      <t xml:space="preserve">항암호르몬약물치료비 （최초</t>
    </r>
    <r>
      <rPr>
        <sz val="11"/>
        <color rgb="FF000000"/>
        <rFont val="맑은 고딕"/>
        <family val="3"/>
        <charset val="129"/>
      </rPr>
      <t xml:space="preserve">1 </t>
    </r>
    <r>
      <rPr>
        <sz val="11"/>
        <color rgb="FF000000"/>
        <rFont val="Noto Sans CJK SC"/>
        <family val="2"/>
      </rPr>
      <t xml:space="preserve">회한）（갱신형）</t>
    </r>
  </si>
  <si>
    <t xml:space="preserve">https://search.naver.com/search.naver?query=%ED%95%98%EB%82%98%EC%86%90%ED%95%B4%EB%B3%B4%ED%97%98%20%EB%AC%B4%EB%B0%B0%EB%8B%B9%20%ED%95%98%EB%82%98%20%EA%B0%80%EB%93%9D%EB%8B%B4%EC%9D%80%20%EC%95%94%EB%B3%B4%ED%97%98%EF%BC%88TM%20%ED%95%AD%EC%95%94%ED%98%B8%EB%A5%B4%EB%AA%AC%EC%95%BD%EB%AC%BC%EC%B9%98%EB%A3%8C%EB%B9%84%20%EF%BC%88%20%EC%95%BD%EA%B4%80%20%EB%B3%B4%EC%9E%A5%EB%82%B4%EC%9A%A9</t>
  </si>
  <si>
    <r>
      <rPr>
        <sz val="11"/>
        <color rgb="FF000000"/>
        <rFont val="Noto Sans CJK SC"/>
        <family val="2"/>
      </rPr>
      <t xml:space="preserve">카티 （</t>
    </r>
    <r>
      <rPr>
        <sz val="11"/>
        <color rgb="FF000000"/>
        <rFont val="맑은 고딕"/>
        <family val="3"/>
        <charset val="129"/>
      </rPr>
      <t xml:space="preserve">CAR-T</t>
    </r>
    <r>
      <rPr>
        <sz val="11"/>
        <color rgb="FF000000"/>
        <rFont val="Noto Sans CJK SC"/>
        <family val="2"/>
      </rPr>
      <t xml:space="preserve">） 항암약물허가치료비 （최초</t>
    </r>
    <r>
      <rPr>
        <sz val="11"/>
        <color rgb="FF000000"/>
        <rFont val="맑은 고딕"/>
        <family val="3"/>
        <charset val="129"/>
      </rPr>
      <t xml:space="preserve">1 </t>
    </r>
    <r>
      <rPr>
        <sz val="11"/>
        <color rgb="FF000000"/>
        <rFont val="Noto Sans CJK SC"/>
        <family val="2"/>
      </rPr>
      <t xml:space="preserve">회한）（갱신형）</t>
    </r>
  </si>
  <si>
    <t xml:space="preserve">https://search.naver.com/search.naver?query=%ED%95%98%EB%82%98%EC%86%90%ED%95%B4%EB%B3%B4%ED%97%98%20%EB%AC%B4%EB%B0%B0%EB%8B%B9%20%ED%95%98%EB%82%98%20%EA%B0%80%EB%93%9D%EB%8B%B4%EC%9D%80%20%EC%95%94%EB%B3%B4%ED%97%98%EF%BC%88TM%20%EC%B9%B4%ED%8B%B0%20%EF%BC%88CAR-T%EF%BC%89%20%ED%95%AD%20%EC%95%BD%EA%B4%80%20%EB%B3%B4%EC%9E%A5%EB%82%B4%EC%9A%A9</t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</si>
  <si>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근거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실손 세대 판정 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가입일 </t>
    </r>
    <r>
      <rPr>
        <sz val="11"/>
        <color rgb="FF000000"/>
        <rFont val="맑은 고딕"/>
        <family val="3"/>
        <charset val="129"/>
      </rPr>
      <t xml:space="preserve">vs </t>
    </r>
    <r>
      <rPr>
        <sz val="11"/>
        <color rgb="FF000000"/>
        <rFont val="Noto Sans CJK SC"/>
        <family val="2"/>
      </rPr>
      <t xml:space="preserve">상품코드 — 상품코드 우선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</si>
  <si>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가입일</t>
  </si>
  <si>
    <r>
      <rPr>
        <sz val="11"/>
        <color rgb="FF000000"/>
        <rFont val="Noto Sans CJK SC"/>
        <family val="2"/>
      </rPr>
      <t xml:space="preserve">상품코드</t>
    </r>
    <r>
      <rPr>
        <sz val="11"/>
        <color rgb="FF000000"/>
        <rFont val="맑은 고딕"/>
        <family val="3"/>
        <charset val="129"/>
      </rPr>
      <t xml:space="preserve">(YYMM)</t>
    </r>
  </si>
  <si>
    <t xml:space="preserve">판정</t>
  </si>
  <si>
    <t xml:space="preserve">2004</t>
  </si>
  <si>
    <r>
      <rPr>
        <sz val="11"/>
        <color rgb="FF000000"/>
        <rFont val="맑은 고딕"/>
        <family val="3"/>
        <charset val="129"/>
      </rPr>
      <t xml:space="preserve">3</t>
    </r>
    <r>
      <rPr>
        <sz val="11"/>
        <color rgb="FF000000"/>
        <rFont val="Noto Sans CJK SC"/>
        <family val="2"/>
      </rPr>
      <t xml:space="preserve">세대</t>
    </r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</si>
  <si>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근거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심장 블록 기재 내역 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원 담보명 → 기재 행</t>
    </r>
    <r>
      <rPr>
        <sz val="11"/>
        <color rgb="FF000000"/>
        <rFont val="맑은 고딕"/>
        <family val="3"/>
        <charset val="129"/>
      </rPr>
      <t xml:space="preserve">) — </t>
    </r>
    <r>
      <rPr>
        <sz val="11"/>
        <color rgb="FF000000"/>
        <rFont val="Noto Sans CJK SC"/>
        <family val="2"/>
      </rPr>
      <t xml:space="preserve">별첨 원문 그대로</t>
    </r>
  </si>
  <si>
    <t xml:space="preserve">별첨 원 담보명</t>
  </si>
  <si>
    <t xml:space="preserve">기재 행</t>
  </si>
  <si>
    <r>
      <rPr>
        <sz val="11"/>
        <color rgb="FF000000"/>
        <rFont val="맑은 고딕"/>
        <family val="3"/>
        <charset val="129"/>
      </rPr>
      <t xml:space="preserve">KB</t>
    </r>
    <r>
      <rPr>
        <sz val="11"/>
        <color rgb="FF000000"/>
        <rFont val="Noto Sans CJK SC"/>
        <family val="2"/>
      </rPr>
      <t xml:space="preserve">손보</t>
    </r>
  </si>
  <si>
    <r>
      <rPr>
        <sz val="11"/>
        <color rgb="FF000000"/>
        <rFont val="Noto Sans CJK SC"/>
        <family val="2"/>
      </rPr>
      <t xml:space="preserve">급성심근경색증진단비 （</t>
    </r>
    <r>
      <rPr>
        <sz val="11"/>
        <color rgb="FF000000"/>
        <rFont val="맑은 고딕"/>
        <family val="3"/>
        <charset val="129"/>
      </rPr>
      <t xml:space="preserve">20</t>
    </r>
    <r>
      <rPr>
        <sz val="11"/>
        <color rgb="FF000000"/>
        <rFont val="Noto Sans CJK SC"/>
        <family val="2"/>
      </rPr>
      <t xml:space="preserve">년갱신형）</t>
    </r>
  </si>
  <si>
    <r>
      <rPr>
        <sz val="11"/>
        <color rgb="FF000000"/>
        <rFont val="Noto Sans CJK SC"/>
        <family val="2"/>
      </rPr>
      <t xml:space="preserve">허혈성심장질환진단비 （</t>
    </r>
    <r>
      <rPr>
        <sz val="11"/>
        <color rgb="FF000000"/>
        <rFont val="맑은 고딕"/>
        <family val="3"/>
        <charset val="129"/>
      </rPr>
      <t xml:space="preserve">20</t>
    </r>
    <r>
      <rPr>
        <sz val="11"/>
        <color rgb="FF000000"/>
        <rFont val="Noto Sans CJK SC"/>
        <family val="2"/>
      </rPr>
      <t xml:space="preserve">년갱신형）</t>
    </r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</si>
  <si>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근거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수술 블록 기재 내역 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원 담보명 → 기재 행</t>
    </r>
    <r>
      <rPr>
        <sz val="11"/>
        <color rgb="FF000000"/>
        <rFont val="맑은 고딕"/>
        <family val="3"/>
        <charset val="129"/>
      </rPr>
      <t xml:space="preserve">/</t>
    </r>
    <r>
      <rPr>
        <sz val="11"/>
        <color rgb="FF000000"/>
        <rFont val="Noto Sans CJK SC"/>
        <family val="2"/>
      </rPr>
      <t xml:space="preserve">슬롯</t>
    </r>
    <r>
      <rPr>
        <sz val="11"/>
        <color rgb="FF000000"/>
        <rFont val="맑은 고딕"/>
        <family val="3"/>
        <charset val="129"/>
      </rPr>
      <t xml:space="preserve">) — </t>
    </r>
    <r>
      <rPr>
        <sz val="11"/>
        <color rgb="FF000000"/>
        <rFont val="Noto Sans CJK SC"/>
        <family val="2"/>
      </rPr>
      <t xml:space="preserve">별첨 원문 그대로</t>
    </r>
  </si>
  <si>
    <r>
      <rPr>
        <sz val="11"/>
        <color rgb="FF000000"/>
        <rFont val="Noto Sans CJK SC"/>
        <family val="2"/>
      </rPr>
      <t xml:space="preserve">기재 행</t>
    </r>
    <r>
      <rPr>
        <sz val="11"/>
        <color rgb="FF000000"/>
        <rFont val="맑은 고딕"/>
        <family val="3"/>
        <charset val="129"/>
      </rPr>
      <t xml:space="preserve">/</t>
    </r>
    <r>
      <rPr>
        <sz val="11"/>
        <color rgb="FF000000"/>
        <rFont val="Noto Sans CJK SC"/>
        <family val="2"/>
      </rPr>
      <t xml:space="preserve">슬롯</t>
    </r>
  </si>
  <si>
    <t xml:space="preserve">골절수술담보</t>
  </si>
  <si>
    <r>
      <rPr>
        <sz val="11"/>
        <color rgb="FF000000"/>
        <rFont val="Noto Sans CJK SC"/>
        <family val="2"/>
      </rPr>
      <t xml:space="preserve">상해수술 （</t>
    </r>
    <r>
      <rPr>
        <sz val="11"/>
        <color rgb="FF000000"/>
        <rFont val="맑은 고딕"/>
        <family val="3"/>
        <charset val="129"/>
      </rPr>
      <t xml:space="preserve">1-5 </t>
    </r>
    <r>
      <rPr>
        <sz val="11"/>
        <color rgb="FF000000"/>
        <rFont val="Noto Sans CJK SC"/>
        <family val="2"/>
      </rPr>
      <t xml:space="preserve">종）（</t>
    </r>
    <r>
      <rPr>
        <sz val="11"/>
        <color rgb="FF000000"/>
        <rFont val="맑은 고딕"/>
        <family val="3"/>
        <charset val="129"/>
      </rPr>
      <t xml:space="preserve">5</t>
    </r>
    <r>
      <rPr>
        <sz val="11"/>
        <color rgb="FF000000"/>
        <rFont val="Noto Sans CJK SC"/>
        <family val="2"/>
      </rPr>
      <t xml:space="preserve">종） 담보</t>
    </r>
  </si>
  <si>
    <r>
      <rPr>
        <sz val="11"/>
        <color rgb="FF000000"/>
        <rFont val="Noto Sans CJK SC"/>
        <family val="2"/>
      </rPr>
      <t xml:space="preserve">상해 종수술비</t>
    </r>
    <r>
      <rPr>
        <sz val="11"/>
        <color rgb="FF000000"/>
        <rFont val="맑은 고딕"/>
        <family val="3"/>
        <charset val="129"/>
      </rPr>
      <t xml:space="preserve">(1-5</t>
    </r>
    <r>
      <rPr>
        <sz val="11"/>
        <color rgb="FF000000"/>
        <rFont val="Noto Sans CJK SC"/>
        <family val="2"/>
      </rPr>
      <t xml:space="preserve">종</t>
    </r>
    <r>
      <rPr>
        <sz val="11"/>
        <color rgb="FF000000"/>
        <rFont val="맑은 고딕"/>
        <family val="3"/>
        <charset val="129"/>
      </rPr>
      <t xml:space="preserve">) 5</t>
    </r>
    <r>
      <rPr>
        <sz val="11"/>
        <color rgb="FF000000"/>
        <rFont val="Noto Sans CJK SC"/>
        <family val="2"/>
      </rPr>
      <t xml:space="preserve">종 슬롯</t>
    </r>
  </si>
  <si>
    <r>
      <rPr>
        <sz val="11"/>
        <color rgb="FF000000"/>
        <rFont val="맑은 고딕"/>
        <family val="3"/>
        <charset val="129"/>
      </rPr>
      <t xml:space="preserve">5</t>
    </r>
    <r>
      <rPr>
        <sz val="11"/>
        <color rgb="FF000000"/>
        <rFont val="Noto Sans CJK SC"/>
        <family val="2"/>
      </rPr>
      <t xml:space="preserve">대골절수술담보</t>
    </r>
  </si>
  <si>
    <r>
      <rPr>
        <sz val="11"/>
        <color rgb="FF000000"/>
        <rFont val="맑은 고딕"/>
        <family val="3"/>
        <charset val="129"/>
      </rPr>
      <t xml:space="preserve">5</t>
    </r>
    <r>
      <rPr>
        <sz val="11"/>
        <color rgb="FF000000"/>
        <rFont val="Noto Sans CJK SC"/>
        <family val="2"/>
      </rPr>
      <t xml:space="preserve">대골절수술비</t>
    </r>
  </si>
  <si>
    <r>
      <rPr>
        <sz val="11"/>
        <color rgb="FF000000"/>
        <rFont val="Noto Sans CJK SC"/>
        <family val="2"/>
      </rPr>
      <t xml:space="preserve">상해수술 （</t>
    </r>
    <r>
      <rPr>
        <sz val="11"/>
        <color rgb="FF000000"/>
        <rFont val="맑은 고딕"/>
        <family val="3"/>
        <charset val="129"/>
      </rPr>
      <t xml:space="preserve">1-5 </t>
    </r>
    <r>
      <rPr>
        <sz val="11"/>
        <color rgb="FF000000"/>
        <rFont val="Noto Sans CJK SC"/>
        <family val="2"/>
      </rPr>
      <t xml:space="preserve">종）（</t>
    </r>
    <r>
      <rPr>
        <sz val="11"/>
        <color rgb="FF000000"/>
        <rFont val="맑은 고딕"/>
        <family val="3"/>
        <charset val="129"/>
      </rPr>
      <t xml:space="preserve">1 </t>
    </r>
    <r>
      <rPr>
        <sz val="11"/>
        <color rgb="FF000000"/>
        <rFont val="Noto Sans CJK SC"/>
        <family val="2"/>
      </rPr>
      <t xml:space="preserve">종） 담보</t>
    </r>
  </si>
  <si>
    <r>
      <rPr>
        <sz val="11"/>
        <color rgb="FF000000"/>
        <rFont val="Noto Sans CJK SC"/>
        <family val="2"/>
      </rPr>
      <t xml:space="preserve">상해 종수술비</t>
    </r>
    <r>
      <rPr>
        <sz val="11"/>
        <color rgb="FF000000"/>
        <rFont val="맑은 고딕"/>
        <family val="3"/>
        <charset val="129"/>
      </rPr>
      <t xml:space="preserve">(1-5</t>
    </r>
    <r>
      <rPr>
        <sz val="11"/>
        <color rgb="FF000000"/>
        <rFont val="Noto Sans CJK SC"/>
        <family val="2"/>
      </rPr>
      <t xml:space="preserve">종</t>
    </r>
    <r>
      <rPr>
        <sz val="11"/>
        <color rgb="FF000000"/>
        <rFont val="맑은 고딕"/>
        <family val="3"/>
        <charset val="129"/>
      </rPr>
      <t xml:space="preserve">) 1</t>
    </r>
    <r>
      <rPr>
        <sz val="11"/>
        <color rgb="FF000000"/>
        <rFont val="Noto Sans CJK SC"/>
        <family val="2"/>
      </rPr>
      <t xml:space="preserve">종 슬롯</t>
    </r>
  </si>
  <si>
    <r>
      <rPr>
        <sz val="11"/>
        <color rgb="FF000000"/>
        <rFont val="Noto Sans CJK SC"/>
        <family val="2"/>
      </rPr>
      <t xml:space="preserve">상해수술 （</t>
    </r>
    <r>
      <rPr>
        <sz val="11"/>
        <color rgb="FF000000"/>
        <rFont val="맑은 고딕"/>
        <family val="3"/>
        <charset val="129"/>
      </rPr>
      <t xml:space="preserve">1-5 </t>
    </r>
    <r>
      <rPr>
        <sz val="11"/>
        <color rgb="FF000000"/>
        <rFont val="Noto Sans CJK SC"/>
        <family val="2"/>
      </rPr>
      <t xml:space="preserve">종）（</t>
    </r>
    <r>
      <rPr>
        <sz val="11"/>
        <color rgb="FF000000"/>
        <rFont val="맑은 고딕"/>
        <family val="3"/>
        <charset val="129"/>
      </rPr>
      <t xml:space="preserve">2</t>
    </r>
    <r>
      <rPr>
        <sz val="11"/>
        <color rgb="FF000000"/>
        <rFont val="Noto Sans CJK SC"/>
        <family val="2"/>
      </rPr>
      <t xml:space="preserve">종） 담보</t>
    </r>
  </si>
  <si>
    <r>
      <rPr>
        <sz val="11"/>
        <color rgb="FF000000"/>
        <rFont val="Noto Sans CJK SC"/>
        <family val="2"/>
      </rPr>
      <t xml:space="preserve">상해 종수술비</t>
    </r>
    <r>
      <rPr>
        <sz val="11"/>
        <color rgb="FF000000"/>
        <rFont val="맑은 고딕"/>
        <family val="3"/>
        <charset val="129"/>
      </rPr>
      <t xml:space="preserve">(1-5</t>
    </r>
    <r>
      <rPr>
        <sz val="11"/>
        <color rgb="FF000000"/>
        <rFont val="Noto Sans CJK SC"/>
        <family val="2"/>
      </rPr>
      <t xml:space="preserve">종</t>
    </r>
    <r>
      <rPr>
        <sz val="11"/>
        <color rgb="FF000000"/>
        <rFont val="맑은 고딕"/>
        <family val="3"/>
        <charset val="129"/>
      </rPr>
      <t xml:space="preserve">) 2</t>
    </r>
    <r>
      <rPr>
        <sz val="11"/>
        <color rgb="FF000000"/>
        <rFont val="Noto Sans CJK SC"/>
        <family val="2"/>
      </rPr>
      <t xml:space="preserve">종 슬롯</t>
    </r>
  </si>
  <si>
    <r>
      <rPr>
        <sz val="11"/>
        <color rgb="FF000000"/>
        <rFont val="Noto Sans CJK SC"/>
        <family val="2"/>
      </rPr>
      <t xml:space="preserve">상해수술 （</t>
    </r>
    <r>
      <rPr>
        <sz val="11"/>
        <color rgb="FF000000"/>
        <rFont val="맑은 고딕"/>
        <family val="3"/>
        <charset val="129"/>
      </rPr>
      <t xml:space="preserve">1-5 </t>
    </r>
    <r>
      <rPr>
        <sz val="11"/>
        <color rgb="FF000000"/>
        <rFont val="Noto Sans CJK SC"/>
        <family val="2"/>
      </rPr>
      <t xml:space="preserve">종）（</t>
    </r>
    <r>
      <rPr>
        <sz val="11"/>
        <color rgb="FF000000"/>
        <rFont val="맑은 고딕"/>
        <family val="3"/>
        <charset val="129"/>
      </rPr>
      <t xml:space="preserve">3</t>
    </r>
    <r>
      <rPr>
        <sz val="11"/>
        <color rgb="FF000000"/>
        <rFont val="Noto Sans CJK SC"/>
        <family val="2"/>
      </rPr>
      <t xml:space="preserve">종） 담보</t>
    </r>
  </si>
  <si>
    <r>
      <rPr>
        <sz val="11"/>
        <color rgb="FF000000"/>
        <rFont val="Noto Sans CJK SC"/>
        <family val="2"/>
      </rPr>
      <t xml:space="preserve">상해 종수술비</t>
    </r>
    <r>
      <rPr>
        <sz val="11"/>
        <color rgb="FF000000"/>
        <rFont val="맑은 고딕"/>
        <family val="3"/>
        <charset val="129"/>
      </rPr>
      <t xml:space="preserve">(1-5</t>
    </r>
    <r>
      <rPr>
        <sz val="11"/>
        <color rgb="FF000000"/>
        <rFont val="Noto Sans CJK SC"/>
        <family val="2"/>
      </rPr>
      <t xml:space="preserve">종</t>
    </r>
    <r>
      <rPr>
        <sz val="11"/>
        <color rgb="FF000000"/>
        <rFont val="맑은 고딕"/>
        <family val="3"/>
        <charset val="129"/>
      </rPr>
      <t xml:space="preserve">) 3</t>
    </r>
    <r>
      <rPr>
        <sz val="11"/>
        <color rgb="FF000000"/>
        <rFont val="Noto Sans CJK SC"/>
        <family val="2"/>
      </rPr>
      <t xml:space="preserve">종 슬롯</t>
    </r>
  </si>
  <si>
    <r>
      <rPr>
        <sz val="11"/>
        <color rgb="FF000000"/>
        <rFont val="Noto Sans CJK SC"/>
        <family val="2"/>
      </rPr>
      <t xml:space="preserve">상해수술 （</t>
    </r>
    <r>
      <rPr>
        <sz val="11"/>
        <color rgb="FF000000"/>
        <rFont val="맑은 고딕"/>
        <family val="3"/>
        <charset val="129"/>
      </rPr>
      <t xml:space="preserve">1-5 </t>
    </r>
    <r>
      <rPr>
        <sz val="11"/>
        <color rgb="FF000000"/>
        <rFont val="Noto Sans CJK SC"/>
        <family val="2"/>
      </rPr>
      <t xml:space="preserve">종）（</t>
    </r>
    <r>
      <rPr>
        <sz val="11"/>
        <color rgb="FF000000"/>
        <rFont val="맑은 고딕"/>
        <family val="3"/>
        <charset val="129"/>
      </rPr>
      <t xml:space="preserve">4</t>
    </r>
    <r>
      <rPr>
        <sz val="11"/>
        <color rgb="FF000000"/>
        <rFont val="Noto Sans CJK SC"/>
        <family val="2"/>
      </rPr>
      <t xml:space="preserve">종） 담보</t>
    </r>
  </si>
  <si>
    <r>
      <rPr>
        <sz val="11"/>
        <color rgb="FF000000"/>
        <rFont val="Noto Sans CJK SC"/>
        <family val="2"/>
      </rPr>
      <t xml:space="preserve">상해 종수술비</t>
    </r>
    <r>
      <rPr>
        <sz val="11"/>
        <color rgb="FF000000"/>
        <rFont val="맑은 고딕"/>
        <family val="3"/>
        <charset val="129"/>
      </rPr>
      <t xml:space="preserve">(1-5</t>
    </r>
    <r>
      <rPr>
        <sz val="11"/>
        <color rgb="FF000000"/>
        <rFont val="Noto Sans CJK SC"/>
        <family val="2"/>
      </rPr>
      <t xml:space="preserve">종</t>
    </r>
    <r>
      <rPr>
        <sz val="11"/>
        <color rgb="FF000000"/>
        <rFont val="맑은 고딕"/>
        <family val="3"/>
        <charset val="129"/>
      </rPr>
      <t xml:space="preserve">) 4</t>
    </r>
    <r>
      <rPr>
        <sz val="11"/>
        <color rgb="FF000000"/>
        <rFont val="Noto Sans CJK SC"/>
        <family val="2"/>
      </rPr>
      <t xml:space="preserve">종 슬롯</t>
    </r>
  </si>
  <si>
    <r>
      <rPr>
        <sz val="11"/>
        <color rgb="FF000000"/>
        <rFont val="Noto Sans CJK SC"/>
        <family val="2"/>
      </rPr>
      <t xml:space="preserve">상해수술입원일당 （</t>
    </r>
    <r>
      <rPr>
        <sz val="11"/>
        <color rgb="FF000000"/>
        <rFont val="맑은 고딕"/>
        <family val="3"/>
        <charset val="129"/>
      </rPr>
      <t xml:space="preserve">1-10</t>
    </r>
    <r>
      <rPr>
        <sz val="11"/>
        <color rgb="FF000000"/>
        <rFont val="Noto Sans CJK SC"/>
        <family val="2"/>
      </rPr>
      <t xml:space="preserve">일） 담보</t>
    </r>
  </si>
  <si>
    <r>
      <rPr>
        <sz val="11"/>
        <color rgb="FF000000"/>
        <rFont val="Noto Sans CJK SC"/>
        <family val="2"/>
      </rPr>
      <t xml:space="preserve">상해수술입원일당 （</t>
    </r>
    <r>
      <rPr>
        <sz val="11"/>
        <color rgb="FF000000"/>
        <rFont val="맑은 고딕"/>
        <family val="3"/>
        <charset val="129"/>
      </rPr>
      <t xml:space="preserve">1-60 </t>
    </r>
    <r>
      <rPr>
        <sz val="11"/>
        <color rgb="FF000000"/>
        <rFont val="Noto Sans CJK SC"/>
        <family val="2"/>
      </rPr>
      <t xml:space="preserve">일） 담보</t>
    </r>
  </si>
  <si>
    <r>
      <rPr>
        <sz val="11"/>
        <color rgb="FF000000"/>
        <rFont val="Noto Sans CJK SC"/>
        <family val="2"/>
      </rPr>
      <t xml:space="preserve">화상진 단</t>
    </r>
    <r>
      <rPr>
        <sz val="11"/>
        <color rgb="FF000000"/>
        <rFont val="맑은 고딕"/>
        <family val="3"/>
        <charset val="129"/>
      </rPr>
      <t xml:space="preserve">/</t>
    </r>
    <r>
      <rPr>
        <sz val="11"/>
        <color rgb="FF000000"/>
        <rFont val="Noto Sans CJK SC"/>
        <family val="2"/>
      </rPr>
      <t xml:space="preserve">수술위로금담보특별</t>
    </r>
  </si>
  <si>
    <t xml:space="preserve">다빈치로봇암수술비 （갑상선암및전립선암제외） （갱신형）</t>
  </si>
  <si>
    <t xml:space="preserve">다빈치로봇암수술비 （갑상선암및전립선암） （갱신형）</t>
  </si>
  <si>
    <r>
      <rPr>
        <b val="true"/>
        <sz val="11"/>
        <color rgb="FFC00000"/>
        <rFont val="Cambria"/>
        <family val="0"/>
        <charset val="1"/>
      </rPr>
      <t xml:space="preserve">[</t>
    </r>
    <r>
      <rPr>
        <b val="true"/>
        <sz val="11"/>
        <color rgb="FFC00000"/>
        <rFont val="Noto Sans CJK SC"/>
        <family val="2"/>
      </rPr>
      <t xml:space="preserve">경고</t>
    </r>
    <r>
      <rPr>
        <b val="true"/>
        <sz val="11"/>
        <color rgb="FFC00000"/>
        <rFont val="Cambria"/>
        <family val="0"/>
        <charset val="1"/>
      </rPr>
      <t xml:space="preserve">] CI </t>
    </r>
    <r>
      <rPr>
        <b val="true"/>
        <sz val="11"/>
        <color rgb="FFC00000"/>
        <rFont val="Noto Sans CJK SC"/>
        <family val="2"/>
      </rPr>
      <t xml:space="preserve">계약이 있으나 중대한</t>
    </r>
    <r>
      <rPr>
        <b val="true"/>
        <sz val="11"/>
        <color rgb="FFC00000"/>
        <rFont val="Cambria"/>
        <family val="0"/>
        <charset val="1"/>
      </rPr>
      <t xml:space="preserve">OO </t>
    </r>
    <r>
      <rPr>
        <b val="true"/>
        <sz val="11"/>
        <color rgb="FFC00000"/>
        <rFont val="Noto Sans CJK SC"/>
        <family val="2"/>
      </rPr>
      <t xml:space="preserve">배치가 </t>
    </r>
    <r>
      <rPr>
        <b val="true"/>
        <sz val="11"/>
        <color rgb="FFC00000"/>
        <rFont val="Cambria"/>
        <family val="0"/>
        <charset val="1"/>
      </rPr>
      <t xml:space="preserve">0</t>
    </r>
    <r>
      <rPr>
        <b val="true"/>
        <sz val="11"/>
        <color rgb="FFC00000"/>
        <rFont val="Noto Sans CJK SC"/>
        <family val="2"/>
      </rPr>
      <t xml:space="preserve">건 — 선지급 분해 실패</t>
    </r>
    <r>
      <rPr>
        <b val="true"/>
        <sz val="11"/>
        <color rgb="FFC00000"/>
        <rFont val="Cambria"/>
        <family val="0"/>
        <charset val="1"/>
      </rPr>
      <t xml:space="preserve">, </t>
    </r>
    <r>
      <rPr>
        <b val="true"/>
        <sz val="11"/>
        <color rgb="FFC00000"/>
        <rFont val="Noto Sans CJK SC"/>
        <family val="2"/>
      </rPr>
      <t xml:space="preserve">즉시 확인</t>
    </r>
  </si>
  <si>
    <t xml:space="preserve">상품명</t>
  </si>
  <si>
    <t xml:space="preserve">①세부내역</t>
  </si>
  <si>
    <t xml:space="preserve">②별첨</t>
  </si>
  <si>
    <t xml:space="preserve">판정근거</t>
  </si>
  <si>
    <r>
      <rPr>
        <sz val="11"/>
        <color rgb="FF000000"/>
        <rFont val="Noto Sans CJK SC"/>
        <family val="2"/>
      </rPr>
      <t xml:space="preserve">사망보장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만원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</si>
  <si>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선지급률</t>
  </si>
  <si>
    <r>
      <rPr>
        <sz val="11"/>
        <color rgb="FF000000"/>
        <rFont val="Noto Sans CJK SC"/>
        <family val="2"/>
      </rPr>
      <t xml:space="preserve">본체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만원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</si>
  <si>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중대한</t>
    </r>
    <r>
      <rPr>
        <sz val="11"/>
        <color rgb="FF000000"/>
        <rFont val="맑은 고딕"/>
        <family val="3"/>
        <charset val="129"/>
      </rPr>
      <t xml:space="preserve">OO </t>
    </r>
    <r>
      <rPr>
        <sz val="11"/>
        <color rgb="FF000000"/>
        <rFont val="Noto Sans CJK SC"/>
        <family val="2"/>
      </rPr>
      <t xml:space="preserve">배치</t>
    </r>
  </si>
  <si>
    <r>
      <rPr>
        <sz val="11"/>
        <color rgb="FF000000"/>
        <rFont val="Noto Sans CJK SC"/>
        <family val="2"/>
      </rPr>
      <t xml:space="preserve">無삼성리빙케어（종</t>
    </r>
    <r>
      <rPr>
        <sz val="11"/>
        <color rgb="FF000000"/>
        <rFont val="맑은 고딕"/>
        <family val="3"/>
        <charset val="129"/>
      </rPr>
      <t xml:space="preserve">2</t>
    </r>
    <r>
      <rPr>
        <sz val="11"/>
        <color rgb="FF000000"/>
        <rFont val="Noto Sans CJK SC"/>
        <family val="2"/>
      </rPr>
      <t xml:space="preserve">비일시우량）</t>
    </r>
    <r>
      <rPr>
        <sz val="11"/>
        <color rgb="FF000000"/>
        <rFont val="맑은 고딕"/>
        <family val="3"/>
        <charset val="129"/>
      </rPr>
      <t xml:space="preserve">1.3</t>
    </r>
  </si>
  <si>
    <t xml:space="preserve">O</t>
  </si>
  <si>
    <t xml:space="preserve">X</t>
  </si>
  <si>
    <t xml:space="preserve">판정불가</t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</si>
  <si>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확인</t>
    </r>
    <r>
      <rPr>
        <sz val="11"/>
        <color rgb="FF000000"/>
        <rFont val="맑은 고딕"/>
        <family val="3"/>
        <charset val="129"/>
      </rPr>
      <t xml:space="preserve">] 50%/80% </t>
    </r>
    <r>
      <rPr>
        <sz val="11"/>
        <color rgb="FF000000"/>
        <rFont val="Noto Sans CJK SC"/>
        <family val="2"/>
      </rPr>
      <t xml:space="preserve">미해당</t>
    </r>
  </si>
  <si>
    <r>
      <rPr>
        <sz val="11"/>
        <color rgb="FF000000"/>
        <rFont val="Noto Sans CJK SC"/>
        <family val="2"/>
      </rPr>
      <t xml:space="preserve">없음 — </t>
    </r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확인</t>
    </r>
    <r>
      <rPr>
        <sz val="11"/>
        <color rgb="FF000000"/>
        <rFont val="맑은 고딕"/>
        <family val="3"/>
        <charset val="129"/>
      </rPr>
      <t xml:space="preserve">]</t>
    </r>
  </si>
  <si>
    <r>
      <rPr>
        <sz val="11"/>
        <color rgb="FF000000"/>
        <rFont val="맑은 고딕"/>
        <family val="3"/>
        <charset val="129"/>
      </rPr>
      <t xml:space="preserve">※ CI 4</t>
    </r>
    <r>
      <rPr>
        <sz val="11"/>
        <color rgb="FF000000"/>
        <rFont val="Noto Sans CJK SC"/>
        <family val="2"/>
      </rPr>
      <t xml:space="preserve">단계 체크</t>
    </r>
    <r>
      <rPr>
        <sz val="11"/>
        <color rgb="FF000000"/>
        <rFont val="맑은 고딕"/>
        <family val="3"/>
        <charset val="129"/>
      </rPr>
      <t xml:space="preserve">: ①</t>
    </r>
    <r>
      <rPr>
        <sz val="11"/>
        <color rgb="FF000000"/>
        <rFont val="Noto Sans CJK SC"/>
        <family val="2"/>
      </rPr>
      <t xml:space="preserve">상세 세부내역 ②</t>
    </r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별첨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보장현황 ③중대한</t>
    </r>
    <r>
      <rPr>
        <sz val="11"/>
        <color rgb="FF000000"/>
        <rFont val="맑은 고딕"/>
        <family val="3"/>
        <charset val="129"/>
      </rPr>
      <t xml:space="preserve">*** </t>
    </r>
    <r>
      <rPr>
        <sz val="11"/>
        <color rgb="FF000000"/>
        <rFont val="Noto Sans CJK SC"/>
        <family val="2"/>
      </rPr>
      <t xml:space="preserve">유무 ④동일금액 </t>
    </r>
    <r>
      <rPr>
        <sz val="11"/>
        <color rgb="FF000000"/>
        <rFont val="맑은 고딕"/>
        <family val="3"/>
        <charset val="129"/>
      </rPr>
      <t xml:space="preserve">2</t>
    </r>
    <r>
      <rPr>
        <sz val="11"/>
        <color rgb="FF000000"/>
        <rFont val="Noto Sans CJK SC"/>
        <family val="2"/>
      </rPr>
      <t xml:space="preserve">개 이상 → </t>
    </r>
    <r>
      <rPr>
        <sz val="11"/>
        <color rgb="FF000000"/>
        <rFont val="맑은 고딕"/>
        <family val="3"/>
        <charset val="129"/>
      </rPr>
      <t xml:space="preserve">50%</t>
    </r>
    <r>
      <rPr>
        <sz val="11"/>
        <color rgb="FF000000"/>
        <rFont val="Noto Sans CJK SC"/>
        <family val="2"/>
      </rPr>
      <t xml:space="preserve">면 </t>
    </r>
    <r>
      <rPr>
        <sz val="11"/>
        <color rgb="FF000000"/>
        <rFont val="맑은 고딕"/>
        <family val="3"/>
        <charset val="129"/>
      </rPr>
      <t xml:space="preserve">×2 / 80%</t>
    </r>
    <r>
      <rPr>
        <sz val="11"/>
        <color rgb="FF000000"/>
        <rFont val="Noto Sans CJK SC"/>
        <family val="2"/>
      </rPr>
      <t xml:space="preserve">면 </t>
    </r>
    <r>
      <rPr>
        <sz val="11"/>
        <color rgb="FF000000"/>
        <rFont val="맑은 고딕"/>
        <family val="3"/>
        <charset val="129"/>
      </rPr>
      <t xml:space="preserve">÷0.8 </t>
    </r>
    <r>
      <rPr>
        <sz val="11"/>
        <color rgb="FF000000"/>
        <rFont val="Noto Sans CJK SC"/>
        <family val="2"/>
      </rPr>
      <t xml:space="preserve">이 사망보장금과 맞는지 검증</t>
    </r>
    <r>
      <rPr>
        <sz val="11"/>
        <color rgb="FF000000"/>
        <rFont val="맑은 고딕"/>
        <family val="3"/>
        <charset val="129"/>
      </rPr>
      <t xml:space="preserve">. </t>
    </r>
    <r>
      <rPr>
        <sz val="11"/>
        <color rgb="FF000000"/>
        <rFont val="Noto Sans CJK SC"/>
        <family val="2"/>
      </rPr>
      <t xml:space="preserve">선지급률은 </t>
    </r>
    <r>
      <rPr>
        <sz val="11"/>
        <color rgb="FF000000"/>
        <rFont val="맑은 고딕"/>
        <family val="3"/>
        <charset val="129"/>
      </rPr>
      <t xml:space="preserve">50%·80% </t>
    </r>
    <r>
      <rPr>
        <sz val="11"/>
        <color rgb="FF000000"/>
        <rFont val="Noto Sans CJK SC"/>
        <family val="2"/>
      </rPr>
      <t xml:space="preserve">두 가지뿐 — 추측 금지</t>
    </r>
    <r>
      <rPr>
        <sz val="11"/>
        <color rgb="FF000000"/>
        <rFont val="맑은 고딕"/>
        <family val="3"/>
        <charset val="129"/>
      </rPr>
      <t xml:space="preserve">.</t>
    </r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</si>
  <si>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근거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암 블록 기재 내역 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원 담보명 → 기재 행</t>
    </r>
    <r>
      <rPr>
        <sz val="11"/>
        <color rgb="FF000000"/>
        <rFont val="맑은 고딕"/>
        <family val="3"/>
        <charset val="129"/>
      </rPr>
      <t xml:space="preserve">) — </t>
    </r>
    <r>
      <rPr>
        <sz val="11"/>
        <color rgb="FF000000"/>
        <rFont val="Noto Sans CJK SC"/>
        <family val="2"/>
      </rPr>
      <t xml:space="preserve">별첨 원문 그대로</t>
    </r>
  </si>
  <si>
    <r>
      <rPr>
        <sz val="11"/>
        <color rgb="FF000000"/>
        <rFont val="Noto Sans CJK SC"/>
        <family val="2"/>
      </rPr>
      <t xml:space="preserve">암진단비 （유사암제외）（</t>
    </r>
    <r>
      <rPr>
        <sz val="11"/>
        <color rgb="FF000000"/>
        <rFont val="맑은 고딕"/>
        <family val="3"/>
        <charset val="129"/>
      </rPr>
      <t xml:space="preserve">20</t>
    </r>
    <r>
      <rPr>
        <sz val="11"/>
        <color rgb="FF000000"/>
        <rFont val="Noto Sans CJK SC"/>
        <family val="2"/>
      </rPr>
      <t xml:space="preserve">년갱신형）</t>
    </r>
  </si>
  <si>
    <r>
      <rPr>
        <sz val="11"/>
        <color rgb="FF000000"/>
        <rFont val="Noto Sans CJK SC"/>
        <family val="2"/>
      </rPr>
      <t xml:space="preserve">유사암진단비 （</t>
    </r>
    <r>
      <rPr>
        <sz val="11"/>
        <color rgb="FF000000"/>
        <rFont val="맑은 고딕"/>
        <family val="3"/>
        <charset val="129"/>
      </rPr>
      <t xml:space="preserve">20</t>
    </r>
    <r>
      <rPr>
        <sz val="11"/>
        <color rgb="FF000000"/>
        <rFont val="Noto Sans CJK SC"/>
        <family val="2"/>
      </rPr>
      <t xml:space="preserve">년갱신형）</t>
    </r>
  </si>
  <si>
    <r>
      <rPr>
        <sz val="11"/>
        <color rgb="FF000000"/>
        <rFont val="Noto Sans CJK SC"/>
        <family val="2"/>
      </rPr>
      <t xml:space="preserve">유사암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갑</t>
    </r>
    <r>
      <rPr>
        <sz val="11"/>
        <color rgb="FF000000"/>
        <rFont val="맑은 고딕"/>
        <family val="3"/>
        <charset val="129"/>
      </rPr>
      <t xml:space="preserve">.</t>
    </r>
    <r>
      <rPr>
        <sz val="11"/>
        <color rgb="FF000000"/>
        <rFont val="Noto Sans CJK SC"/>
        <family val="2"/>
      </rPr>
      <t xml:space="preserve">기</t>
    </r>
    <r>
      <rPr>
        <sz val="11"/>
        <color rgb="FF000000"/>
        <rFont val="맑은 고딕"/>
        <family val="3"/>
        <charset val="129"/>
      </rPr>
      <t xml:space="preserve">.</t>
    </r>
    <r>
      <rPr>
        <sz val="11"/>
        <color rgb="FF000000"/>
        <rFont val="Noto Sans CJK SC"/>
        <family val="2"/>
      </rPr>
      <t xml:space="preserve">경</t>
    </r>
    <r>
      <rPr>
        <sz val="11"/>
        <color rgb="FF000000"/>
        <rFont val="맑은 고딕"/>
        <family val="3"/>
        <charset val="129"/>
      </rPr>
      <t xml:space="preserve">.</t>
    </r>
    <r>
      <rPr>
        <sz val="11"/>
        <color rgb="FF000000"/>
        <rFont val="Noto Sans CJK SC"/>
        <family val="2"/>
      </rPr>
      <t xml:space="preserve">제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</si>
  <si>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신재진단암진단비 （</t>
    </r>
    <r>
      <rPr>
        <sz val="11"/>
        <color rgb="FF000000"/>
        <rFont val="맑은 고딕"/>
        <family val="3"/>
        <charset val="129"/>
      </rPr>
      <t xml:space="preserve">20</t>
    </r>
    <r>
      <rPr>
        <sz val="11"/>
        <color rgb="FF000000"/>
        <rFont val="Noto Sans CJK SC"/>
        <family val="2"/>
      </rPr>
      <t xml:space="preserve">년갱신형）</t>
    </r>
  </si>
  <si>
    <t xml:space="preserve">암진단비 （유방암및생식기 암제외）（갱신형）</t>
  </si>
  <si>
    <t xml:space="preserve">유사암진단비 （갱신형）</t>
  </si>
  <si>
    <t xml:space="preserve">유방암및생식기암진단비 （갱신형）</t>
  </si>
  <si>
    <r>
      <rPr>
        <b val="true"/>
        <sz val="13"/>
        <color rgb="FFC0392B"/>
        <rFont val="Cambria"/>
        <family val="0"/>
        <charset val="1"/>
      </rPr>
      <t xml:space="preserve">[</t>
    </r>
    <r>
      <rPr>
        <b val="true"/>
        <sz val="13"/>
        <color rgb="FFC0392B"/>
        <rFont val="Noto Sans CJK SC"/>
        <family val="2"/>
      </rPr>
      <t xml:space="preserve">검산</t>
    </r>
    <r>
      <rPr>
        <b val="true"/>
        <sz val="13"/>
        <color rgb="FFC0392B"/>
        <rFont val="Cambria"/>
        <family val="0"/>
        <charset val="1"/>
      </rPr>
      <t xml:space="preserve">] </t>
    </r>
    <r>
      <rPr>
        <b val="true"/>
        <sz val="13"/>
        <color rgb="FFC0392B"/>
        <rFont val="Noto Sans CJK SC"/>
        <family val="2"/>
      </rPr>
      <t xml:space="preserve">한장보장표 대조 — 일치 </t>
    </r>
    <r>
      <rPr>
        <b val="true"/>
        <sz val="13"/>
        <color rgb="FFC0392B"/>
        <rFont val="Cambria"/>
        <family val="0"/>
        <charset val="1"/>
      </rPr>
      <t xml:space="preserve">19</t>
    </r>
    <r>
      <rPr>
        <b val="true"/>
        <sz val="13"/>
        <color rgb="FFC0392B"/>
        <rFont val="Noto Sans CJK SC"/>
        <family val="2"/>
      </rPr>
      <t xml:space="preserve">건 </t>
    </r>
    <r>
      <rPr>
        <b val="true"/>
        <sz val="13"/>
        <color rgb="FFC0392B"/>
        <rFont val="Cambria"/>
        <family val="0"/>
        <charset val="1"/>
      </rPr>
      <t xml:space="preserve">/ </t>
    </r>
    <r>
      <rPr>
        <b val="true"/>
        <sz val="13"/>
        <color rgb="FFC0392B"/>
        <rFont val="Noto Sans CJK SC"/>
        <family val="2"/>
      </rPr>
      <t xml:space="preserve">불일치 </t>
    </r>
    <r>
      <rPr>
        <b val="true"/>
        <sz val="13"/>
        <color rgb="FFC0392B"/>
        <rFont val="Cambria"/>
        <family val="0"/>
        <charset val="1"/>
      </rPr>
      <t xml:space="preserve">8</t>
    </r>
    <r>
      <rPr>
        <b val="true"/>
        <sz val="13"/>
        <color rgb="FFC0392B"/>
        <rFont val="Noto Sans CJK SC"/>
        <family val="2"/>
      </rPr>
      <t xml:space="preserve">건  ★불일치 해소 전 제출 금지</t>
    </r>
  </si>
  <si>
    <t xml:space="preserve">담보</t>
  </si>
  <si>
    <t xml:space="preserve">한장보장표</t>
  </si>
  <si>
    <t xml:space="preserve">엑셀 끝열</t>
  </si>
  <si>
    <t xml:space="preserve">차이</t>
  </si>
  <si>
    <t xml:space="preserve">질병사망</t>
  </si>
  <si>
    <r>
      <rPr>
        <b val="true"/>
        <sz val="11"/>
        <color rgb="FFC0392B"/>
        <rFont val="Noto Sans CJK SC"/>
        <family val="2"/>
      </rPr>
      <t xml:space="preserve">상해후유</t>
    </r>
    <r>
      <rPr>
        <b val="true"/>
        <sz val="11"/>
        <color rgb="FFC0392B"/>
        <rFont val="Cambria"/>
        <family val="0"/>
        <charset val="1"/>
      </rPr>
      <t xml:space="preserve">3%</t>
    </r>
  </si>
  <si>
    <t xml:space="preserve">std</t>
  </si>
  <si>
    <t xml:space="preserve">raw</t>
  </si>
  <si>
    <t xml:space="preserve">amt</t>
  </si>
  <si>
    <r>
      <rPr>
        <sz val="11"/>
        <color rgb="FF000000"/>
        <rFont val="Noto Sans CJK SC"/>
        <family val="2"/>
      </rPr>
      <t xml:space="preserve">뇌졸중진단비 （</t>
    </r>
    <r>
      <rPr>
        <sz val="11"/>
        <color rgb="FF000000"/>
        <rFont val="맑은 고딕"/>
        <family val="3"/>
        <charset val="129"/>
      </rPr>
      <t xml:space="preserve">20</t>
    </r>
    <r>
      <rPr>
        <sz val="11"/>
        <color rgb="FF000000"/>
        <rFont val="Noto Sans CJK SC"/>
        <family val="2"/>
      </rPr>
      <t xml:space="preserve">년갱신형）</t>
    </r>
  </si>
  <si>
    <r>
      <rPr>
        <sz val="11"/>
        <color rgb="FF000000"/>
        <rFont val="Noto Sans CJK SC"/>
        <family val="2"/>
      </rPr>
      <t xml:space="preserve">뇌혈관질환진단비 （</t>
    </r>
    <r>
      <rPr>
        <sz val="11"/>
        <color rgb="FF000000"/>
        <rFont val="맑은 고딕"/>
        <family val="3"/>
        <charset val="129"/>
      </rPr>
      <t xml:space="preserve">20</t>
    </r>
    <r>
      <rPr>
        <sz val="11"/>
        <color rgb="FF000000"/>
        <rFont val="Noto Sans CJK SC"/>
        <family val="2"/>
      </rPr>
      <t xml:space="preserve">년갱신형）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</si>
</sst>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_-;\-* #,##0_-;_-* \-_-;_-@_-"/>
    <numFmt numFmtId="166" formatCode="#,##0"/>
  </numFmts>
  <fonts count="27">
    <font>
      <sz val="11"/>
      <color rgb="FF000000"/>
      <name val="맑은 고딕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Noto Sans CJK SC"/>
      <family val="2"/>
      <charset val="1"/>
    </font>
    <font>
      <b val="true"/>
      <sz val="9"/>
      <color rgb="FFFFFFFF"/>
      <name val="Noto Sans CJK SC"/>
      <family val="2"/>
    </font>
    <font>
      <b val="true"/>
      <sz val="9"/>
      <color rgb="FFFFFFFF"/>
      <name val="맑은 고딕"/>
      <family val="0"/>
      <charset val="1"/>
    </font>
    <font>
      <b val="true"/>
      <sz val="9"/>
      <color rgb="FF000000"/>
      <name val="Noto Sans CJK SC"/>
      <family val="2"/>
      <charset val="1"/>
    </font>
    <font>
      <sz val="9"/>
      <color rgb="FF000000"/>
      <name val="맑은 고딕"/>
      <family val="0"/>
      <charset val="1"/>
    </font>
    <font>
      <sz val="9"/>
      <color rgb="FF000000"/>
      <name val="Noto Sans CJK SC"/>
      <family val="2"/>
    </font>
    <font>
      <sz val="9"/>
      <color rgb="FF0070C0"/>
      <name val="맑은 고딕"/>
      <family val="0"/>
      <charset val="1"/>
    </font>
    <font>
      <b val="true"/>
      <sz val="8"/>
      <color rgb="FF000000"/>
      <name val="Noto Sans CJK SC"/>
      <family val="2"/>
      <charset val="1"/>
    </font>
    <font>
      <sz val="9"/>
      <color rgb="FF0070C0"/>
      <name val="Noto Sans CJK SC"/>
      <family val="2"/>
    </font>
    <font>
      <b val="true"/>
      <sz val="9"/>
      <color rgb="FF000000"/>
      <name val="맑은 고딕"/>
      <family val="3"/>
      <charset val="129"/>
    </font>
    <font>
      <b val="true"/>
      <sz val="9"/>
      <color rgb="FF0000FF"/>
      <name val="맑은 고딕"/>
      <family val="3"/>
      <charset val="129"/>
    </font>
    <font>
      <b val="true"/>
      <sz val="9"/>
      <color rgb="FF000000"/>
      <name val="Noto Sans CJK SC"/>
      <family val="2"/>
    </font>
    <font>
      <b val="true"/>
      <sz val="13"/>
      <name val="Noto Sans CJK SC"/>
      <family val="2"/>
      <charset val="1"/>
    </font>
    <font>
      <sz val="11"/>
      <color rgb="FF000000"/>
      <name val="Noto Sans CJK SC"/>
      <family val="2"/>
      <charset val="1"/>
    </font>
    <font>
      <sz val="11"/>
      <color rgb="FF000000"/>
      <name val="Noto Sans CJK SC"/>
      <family val="2"/>
    </font>
    <font>
      <b val="true"/>
      <sz val="13"/>
      <color rgb="FFC0392B"/>
      <name val="Cambria"/>
      <family val="0"/>
      <charset val="1"/>
    </font>
    <font>
      <b val="true"/>
      <sz val="13"/>
      <color rgb="FFC0392B"/>
      <name val="Noto Sans CJK SC"/>
      <family val="2"/>
    </font>
    <font>
      <b val="true"/>
      <sz val="12"/>
      <color rgb="FFC0392B"/>
      <name val="Cambria"/>
      <family val="0"/>
      <charset val="1"/>
    </font>
    <font>
      <b val="true"/>
      <sz val="12"/>
      <color rgb="FFC0392B"/>
      <name val="Noto Sans CJK SC"/>
      <family val="2"/>
    </font>
    <font>
      <b val="true"/>
      <sz val="11"/>
      <color rgb="FFC00000"/>
      <name val="Cambria"/>
      <family val="0"/>
      <charset val="1"/>
    </font>
    <font>
      <b val="true"/>
      <sz val="11"/>
      <color rgb="FFC00000"/>
      <name val="Noto Sans CJK SC"/>
      <family val="2"/>
    </font>
    <font>
      <b val="true"/>
      <sz val="11"/>
      <color rgb="FFC0392B"/>
      <name val="Noto Sans CJK SC"/>
      <family val="2"/>
    </font>
    <font>
      <b val="true"/>
      <sz val="11"/>
      <color rgb="FFC0392B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00000"/>
        <bgColor rgb="FF800000"/>
      </patternFill>
    </fill>
    <fill>
      <patternFill patternType="solid">
        <fgColor rgb="FF375623"/>
        <bgColor rgb="FF333300"/>
      </patternFill>
    </fill>
    <fill>
      <patternFill patternType="solid">
        <fgColor rgb="FF0070C0"/>
        <bgColor rgb="FF008080"/>
      </patternFill>
    </fill>
    <fill>
      <patternFill patternType="solid">
        <fgColor rgb="FF2E75B6"/>
        <bgColor rgb="FF0070C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04"/>
  <sheetViews>
    <sheetView showFormulas="false" showGridLines="true" showRowColHeaders="true" showZeros="true" rightToLeft="false" tabSelected="true" showOutlineSymbols="true" defaultGridColor="true" view="normal" topLeftCell="A31" colorId="64" zoomScale="100" zoomScaleNormal="100" zoomScalePageLayoutView="100" workbookViewId="0">
      <selection pane="topLeft" activeCell="C45" activeCellId="0" sqref="C45"/>
    </sheetView>
  </sheetViews>
  <sheetFormatPr defaultColWidth="9" defaultRowHeight="17.25" zeroHeight="false" outlineLevelRow="0" outlineLevelCol="0"/>
  <cols>
    <col collapsed="false" customWidth="true" hidden="false" outlineLevel="0" max="1" min="1" style="1" width="6.5"/>
    <col collapsed="false" customWidth="true" hidden="false" outlineLevel="0" max="2" min="2" style="1" width="22"/>
    <col collapsed="false" customWidth="true" hidden="false" outlineLevel="0" max="18" min="3" style="1" width="12"/>
  </cols>
  <sheetData>
    <row r="1" customFormat="false" ht="38.25" hidden="false" customHeight="true" outlineLevel="0" collapsed="false">
      <c r="A1" s="2" t="s">
        <v>0</v>
      </c>
      <c r="B1" s="2"/>
      <c r="C1" s="3" t="s">
        <v>1</v>
      </c>
      <c r="D1" s="4" t="s">
        <v>2</v>
      </c>
      <c r="E1" s="3" t="s">
        <v>3</v>
      </c>
      <c r="F1" s="3" t="s">
        <v>4</v>
      </c>
      <c r="G1" s="5" t="s">
        <v>5</v>
      </c>
      <c r="H1" s="6" t="s">
        <v>6</v>
      </c>
      <c r="I1" s="4" t="s">
        <v>7</v>
      </c>
      <c r="J1" s="7" t="s">
        <v>8</v>
      </c>
      <c r="K1" s="8" t="s">
        <v>9</v>
      </c>
      <c r="L1" s="7" t="s">
        <v>10</v>
      </c>
      <c r="M1" s="9" t="s">
        <v>11</v>
      </c>
      <c r="N1" s="9" t="s">
        <v>12</v>
      </c>
      <c r="O1" s="10" t="s">
        <v>13</v>
      </c>
      <c r="P1" s="9" t="s">
        <v>14</v>
      </c>
      <c r="Q1" s="8" t="s">
        <v>15</v>
      </c>
      <c r="R1" s="11" t="s">
        <v>16</v>
      </c>
    </row>
    <row r="2" customFormat="false" ht="16.5" hidden="false" customHeight="true" outlineLevel="0" collapsed="false">
      <c r="A2" s="12" t="s">
        <v>17</v>
      </c>
      <c r="B2" s="12"/>
      <c r="C2" s="13" t="n">
        <v>700000</v>
      </c>
      <c r="D2" s="14" t="s">
        <v>18</v>
      </c>
      <c r="E2" s="13" t="n">
        <v>1522500</v>
      </c>
      <c r="F2" s="13" t="n">
        <v>305000</v>
      </c>
      <c r="G2" s="14" t="s">
        <v>19</v>
      </c>
      <c r="H2" s="15" t="n">
        <v>100000</v>
      </c>
      <c r="I2" s="14" t="s">
        <v>20</v>
      </c>
      <c r="J2" s="13" t="n">
        <v>35000</v>
      </c>
      <c r="K2" s="16" t="n">
        <v>28610</v>
      </c>
      <c r="L2" s="17" t="n">
        <v>10000</v>
      </c>
      <c r="M2" s="18"/>
      <c r="N2" s="19" t="s">
        <v>21</v>
      </c>
      <c r="O2" s="16" t="n">
        <v>72462</v>
      </c>
      <c r="P2" s="19"/>
      <c r="Q2" s="16" t="n">
        <v>78655</v>
      </c>
      <c r="R2" s="20" t="n">
        <f aca="false">SUM(C2:Q2)</f>
        <v>2852227</v>
      </c>
    </row>
    <row r="3" customFormat="false" ht="16.5" hidden="false" customHeight="true" outlineLevel="0" collapsed="false">
      <c r="A3" s="21" t="s">
        <v>22</v>
      </c>
      <c r="B3" s="21"/>
      <c r="C3" s="14" t="s">
        <v>23</v>
      </c>
      <c r="D3" s="14" t="s">
        <v>24</v>
      </c>
      <c r="E3" s="14" t="s">
        <v>25</v>
      </c>
      <c r="F3" s="14" t="s">
        <v>26</v>
      </c>
      <c r="G3" s="14" t="s">
        <v>27</v>
      </c>
      <c r="H3" s="22" t="s">
        <v>28</v>
      </c>
      <c r="I3" s="14" t="s">
        <v>29</v>
      </c>
      <c r="J3" s="14" t="s">
        <v>30</v>
      </c>
      <c r="K3" s="18" t="s">
        <v>31</v>
      </c>
      <c r="L3" s="19" t="s">
        <v>32</v>
      </c>
      <c r="M3" s="18"/>
      <c r="N3" s="19" t="s">
        <v>33</v>
      </c>
      <c r="O3" s="18" t="s">
        <v>31</v>
      </c>
      <c r="P3" s="19"/>
      <c r="Q3" s="18" t="s">
        <v>34</v>
      </c>
      <c r="R3" s="23"/>
    </row>
    <row r="4" customFormat="false" ht="16.5" hidden="false" customHeight="true" outlineLevel="0" collapsed="false">
      <c r="A4" s="21" t="s">
        <v>35</v>
      </c>
      <c r="B4" s="21"/>
      <c r="C4" s="14" t="s">
        <v>36</v>
      </c>
      <c r="D4" s="14" t="s">
        <v>36</v>
      </c>
      <c r="E4" s="14" t="s">
        <v>36</v>
      </c>
      <c r="F4" s="14" t="s">
        <v>36</v>
      </c>
      <c r="G4" s="14" t="s">
        <v>37</v>
      </c>
      <c r="H4" s="22" t="s">
        <v>38</v>
      </c>
      <c r="I4" s="14" t="s">
        <v>39</v>
      </c>
      <c r="J4" s="14" t="s">
        <v>40</v>
      </c>
      <c r="K4" s="18" t="s">
        <v>41</v>
      </c>
      <c r="L4" s="19" t="s">
        <v>42</v>
      </c>
      <c r="M4" s="18"/>
      <c r="N4" s="19" t="s">
        <v>43</v>
      </c>
      <c r="O4" s="18" t="s">
        <v>44</v>
      </c>
      <c r="P4" s="19"/>
      <c r="Q4" s="18" t="s">
        <v>45</v>
      </c>
      <c r="R4" s="23"/>
    </row>
    <row r="5" customFormat="false" ht="17.25" hidden="false" customHeight="true" outlineLevel="0" collapsed="false">
      <c r="A5" s="21" t="s">
        <v>46</v>
      </c>
      <c r="B5" s="21"/>
      <c r="C5" s="14" t="s">
        <v>47</v>
      </c>
      <c r="D5" s="14" t="s">
        <v>48</v>
      </c>
      <c r="E5" s="14" t="s">
        <v>49</v>
      </c>
      <c r="F5" s="14" t="s">
        <v>50</v>
      </c>
      <c r="G5" s="14" t="s">
        <v>51</v>
      </c>
      <c r="H5" s="22" t="s">
        <v>52</v>
      </c>
      <c r="I5" s="14" t="s">
        <v>51</v>
      </c>
      <c r="J5" s="14" t="s">
        <v>53</v>
      </c>
      <c r="K5" s="18" t="s">
        <v>54</v>
      </c>
      <c r="L5" s="19" t="s">
        <v>55</v>
      </c>
      <c r="M5" s="18"/>
      <c r="N5" s="19" t="s">
        <v>51</v>
      </c>
      <c r="O5" s="18" t="s">
        <v>56</v>
      </c>
      <c r="P5" s="19"/>
      <c r="Q5" s="18" t="s">
        <v>57</v>
      </c>
      <c r="R5" s="23"/>
    </row>
    <row r="6" customFormat="false" ht="16.5" hidden="false" customHeight="true" outlineLevel="0" collapsed="false">
      <c r="A6" s="24" t="s">
        <v>58</v>
      </c>
      <c r="B6" s="25" t="s">
        <v>59</v>
      </c>
      <c r="C6" s="26" t="n">
        <v>2426</v>
      </c>
      <c r="D6" s="26" t="n">
        <v>5000</v>
      </c>
      <c r="E6" s="26" t="n">
        <v>70000</v>
      </c>
      <c r="F6" s="26" t="n">
        <v>5000</v>
      </c>
      <c r="G6" s="26" t="n">
        <v>234</v>
      </c>
      <c r="H6" s="27"/>
      <c r="I6" s="28"/>
      <c r="J6" s="28"/>
      <c r="K6" s="29"/>
      <c r="L6" s="29"/>
      <c r="M6" s="29"/>
      <c r="N6" s="29"/>
      <c r="O6" s="29"/>
      <c r="P6" s="29"/>
      <c r="Q6" s="29"/>
      <c r="R6" s="30" t="n">
        <f aca="false">SUM(C6:Q6)</f>
        <v>82660</v>
      </c>
    </row>
    <row r="7" customFormat="false" ht="17.25" hidden="false" customHeight="true" outlineLevel="0" collapsed="false">
      <c r="A7" s="24"/>
      <c r="B7" s="31" t="s">
        <v>60</v>
      </c>
      <c r="C7" s="32"/>
      <c r="D7" s="32"/>
      <c r="E7" s="32"/>
      <c r="F7" s="32"/>
      <c r="G7" s="32"/>
      <c r="H7" s="32"/>
      <c r="I7" s="32"/>
      <c r="J7" s="32"/>
      <c r="K7" s="33"/>
      <c r="L7" s="33"/>
      <c r="M7" s="33"/>
      <c r="N7" s="33"/>
      <c r="O7" s="33"/>
      <c r="P7" s="33"/>
      <c r="Q7" s="33"/>
      <c r="R7" s="34" t="n">
        <f aca="false">SUM(C7:Q7)</f>
        <v>0</v>
      </c>
    </row>
    <row r="8" customFormat="false" ht="17.25" hidden="false" customHeight="true" outlineLevel="0" collapsed="false">
      <c r="A8" s="24"/>
      <c r="B8" s="35" t="s">
        <v>61</v>
      </c>
      <c r="C8" s="36"/>
      <c r="D8" s="32"/>
      <c r="E8" s="32"/>
      <c r="F8" s="32"/>
      <c r="G8" s="32"/>
      <c r="H8" s="37" t="n">
        <v>500</v>
      </c>
      <c r="I8" s="32"/>
      <c r="J8" s="32"/>
      <c r="K8" s="33"/>
      <c r="L8" s="33"/>
      <c r="M8" s="33"/>
      <c r="N8" s="33"/>
      <c r="O8" s="33"/>
      <c r="P8" s="33"/>
      <c r="Q8" s="33"/>
      <c r="R8" s="34" t="n">
        <f aca="false">SUM(C8:Q8)</f>
        <v>500</v>
      </c>
    </row>
    <row r="9" customFormat="false" ht="16.5" hidden="false" customHeight="true" outlineLevel="0" collapsed="false">
      <c r="A9" s="24"/>
      <c r="B9" s="35" t="s">
        <v>62</v>
      </c>
      <c r="C9" s="32"/>
      <c r="D9" s="32"/>
      <c r="E9" s="32"/>
      <c r="F9" s="32"/>
      <c r="G9" s="32"/>
      <c r="H9" s="32"/>
      <c r="I9" s="32"/>
      <c r="J9" s="38" t="n">
        <v>5000</v>
      </c>
      <c r="K9" s="33"/>
      <c r="L9" s="33"/>
      <c r="M9" s="33"/>
      <c r="N9" s="33"/>
      <c r="O9" s="33"/>
      <c r="P9" s="33"/>
      <c r="Q9" s="33"/>
      <c r="R9" s="34" t="n">
        <f aca="false">SUM(C9:Q9)</f>
        <v>5000</v>
      </c>
    </row>
    <row r="10" customFormat="false" ht="17.25" hidden="false" customHeight="true" outlineLevel="0" collapsed="false">
      <c r="A10" s="24"/>
      <c r="B10" s="39" t="s">
        <v>63</v>
      </c>
      <c r="C10" s="13" t="n">
        <v>2426</v>
      </c>
      <c r="D10" s="13" t="n">
        <v>6000</v>
      </c>
      <c r="E10" s="13" t="n">
        <v>70000</v>
      </c>
      <c r="F10" s="13" t="n">
        <v>5000</v>
      </c>
      <c r="G10" s="13" t="n">
        <v>234</v>
      </c>
      <c r="H10" s="15" t="n">
        <v>500</v>
      </c>
      <c r="I10" s="40"/>
      <c r="J10" s="40"/>
      <c r="K10" s="41"/>
      <c r="L10" s="41"/>
      <c r="M10" s="41"/>
      <c r="N10" s="17" t="n">
        <v>2000</v>
      </c>
      <c r="O10" s="16" t="n">
        <v>100</v>
      </c>
      <c r="P10" s="41"/>
      <c r="Q10" s="41"/>
      <c r="R10" s="20" t="n">
        <f aca="false">SUM(C10:Q10)</f>
        <v>86260</v>
      </c>
    </row>
    <row r="11" customFormat="false" ht="16.5" hidden="false" customHeight="true" outlineLevel="0" collapsed="false">
      <c r="A11" s="42" t="s">
        <v>64</v>
      </c>
      <c r="B11" s="35" t="s">
        <v>65</v>
      </c>
      <c r="C11" s="32"/>
      <c r="D11" s="38" t="n">
        <v>3500</v>
      </c>
      <c r="E11" s="32"/>
      <c r="F11" s="32"/>
      <c r="G11" s="32"/>
      <c r="H11" s="32"/>
      <c r="I11" s="32"/>
      <c r="J11" s="32"/>
      <c r="K11" s="33"/>
      <c r="L11" s="38" t="n">
        <v>5000</v>
      </c>
      <c r="M11" s="33"/>
      <c r="N11" s="43" t="n">
        <v>2000</v>
      </c>
      <c r="O11" s="44" t="n">
        <v>100</v>
      </c>
      <c r="P11" s="33"/>
      <c r="Q11" s="33"/>
      <c r="R11" s="34" t="n">
        <f aca="false">SUM(C11:Q11)</f>
        <v>10600</v>
      </c>
    </row>
    <row r="12" customFormat="false" ht="16.5" hidden="false" customHeight="true" outlineLevel="0" collapsed="false">
      <c r="A12" s="42"/>
      <c r="B12" s="35" t="s">
        <v>66</v>
      </c>
      <c r="C12" s="32"/>
      <c r="D12" s="32"/>
      <c r="E12" s="32"/>
      <c r="F12" s="32"/>
      <c r="G12" s="32"/>
      <c r="H12" s="32"/>
      <c r="I12" s="32"/>
      <c r="J12" s="32"/>
      <c r="K12" s="33"/>
      <c r="L12" s="33"/>
      <c r="M12" s="33"/>
      <c r="N12" s="33"/>
      <c r="O12" s="33"/>
      <c r="P12" s="33"/>
      <c r="Q12" s="33"/>
      <c r="R12" s="34" t="n">
        <f aca="false">SUM(C12:Q12)</f>
        <v>0</v>
      </c>
    </row>
    <row r="13" customFormat="false" ht="16.5" hidden="false" customHeight="true" outlineLevel="0" collapsed="false">
      <c r="A13" s="42"/>
      <c r="B13" s="35" t="s">
        <v>67</v>
      </c>
      <c r="C13" s="32"/>
      <c r="D13" s="32"/>
      <c r="E13" s="32"/>
      <c r="F13" s="32"/>
      <c r="G13" s="32"/>
      <c r="H13" s="32"/>
      <c r="I13" s="32"/>
      <c r="J13" s="32"/>
      <c r="K13" s="33"/>
      <c r="L13" s="33"/>
      <c r="M13" s="33"/>
      <c r="N13" s="33"/>
      <c r="O13" s="33"/>
      <c r="P13" s="33"/>
      <c r="Q13" s="33"/>
      <c r="R13" s="34" t="n">
        <f aca="false">SUM(C13:Q13)</f>
        <v>0</v>
      </c>
    </row>
    <row r="14" customFormat="false" ht="17.25" hidden="false" customHeight="true" outlineLevel="0" collapsed="false">
      <c r="A14" s="42"/>
      <c r="B14" s="39" t="s">
        <v>68</v>
      </c>
      <c r="C14" s="40"/>
      <c r="D14" s="40"/>
      <c r="E14" s="40"/>
      <c r="F14" s="40"/>
      <c r="G14" s="40"/>
      <c r="H14" s="40"/>
      <c r="I14" s="40"/>
      <c r="J14" s="40"/>
      <c r="K14" s="41"/>
      <c r="L14" s="41"/>
      <c r="M14" s="41"/>
      <c r="N14" s="41"/>
      <c r="O14" s="41"/>
      <c r="P14" s="41"/>
      <c r="Q14" s="41"/>
      <c r="R14" s="20" t="n">
        <f aca="false">SUM(C14:Q14)</f>
        <v>0</v>
      </c>
    </row>
    <row r="15" customFormat="false" ht="17.25" hidden="false" customHeight="true" outlineLevel="0" collapsed="false">
      <c r="A15" s="42" t="s">
        <v>69</v>
      </c>
      <c r="B15" s="35" t="s">
        <v>70</v>
      </c>
      <c r="C15" s="32"/>
      <c r="D15" s="32"/>
      <c r="E15" s="32"/>
      <c r="F15" s="32"/>
      <c r="G15" s="32"/>
      <c r="H15" s="32"/>
      <c r="I15" s="32"/>
      <c r="J15" s="32"/>
      <c r="K15" s="33"/>
      <c r="L15" s="33"/>
      <c r="M15" s="33"/>
      <c r="N15" s="33"/>
      <c r="O15" s="33"/>
      <c r="P15" s="33"/>
      <c r="Q15" s="33"/>
      <c r="R15" s="34" t="n">
        <f aca="false">SUM(C15:Q15)</f>
        <v>0</v>
      </c>
    </row>
    <row r="16" customFormat="false" ht="16.5" hidden="false" customHeight="true" outlineLevel="0" collapsed="false">
      <c r="A16" s="42"/>
      <c r="B16" s="31" t="s">
        <v>71</v>
      </c>
      <c r="C16" s="32"/>
      <c r="D16" s="38" t="n">
        <v>4000</v>
      </c>
      <c r="E16" s="32"/>
      <c r="F16" s="32"/>
      <c r="G16" s="32"/>
      <c r="H16" s="32"/>
      <c r="I16" s="32"/>
      <c r="J16" s="32"/>
      <c r="K16" s="33"/>
      <c r="L16" s="33"/>
      <c r="M16" s="33"/>
      <c r="N16" s="33"/>
      <c r="O16" s="44" t="n">
        <v>600</v>
      </c>
      <c r="P16" s="33"/>
      <c r="Q16" s="44" t="n">
        <v>8000</v>
      </c>
      <c r="R16" s="34" t="n">
        <f aca="false">SUM(C16:Q16)</f>
        <v>12600</v>
      </c>
    </row>
    <row r="17" customFormat="false" ht="17.25" hidden="false" customHeight="true" outlineLevel="0" collapsed="false">
      <c r="A17" s="42"/>
      <c r="B17" s="31" t="s">
        <v>72</v>
      </c>
      <c r="C17" s="32"/>
      <c r="D17" s="32"/>
      <c r="E17" s="32"/>
      <c r="F17" s="32"/>
      <c r="G17" s="32"/>
      <c r="H17" s="32"/>
      <c r="I17" s="32"/>
      <c r="J17" s="32"/>
      <c r="K17" s="33"/>
      <c r="L17" s="33"/>
      <c r="M17" s="33"/>
      <c r="N17" s="33"/>
      <c r="O17" s="33"/>
      <c r="P17" s="33"/>
      <c r="Q17" s="33"/>
      <c r="R17" s="34" t="n">
        <f aca="false">SUM(C17:Q17)</f>
        <v>0</v>
      </c>
    </row>
    <row r="18" customFormat="false" ht="16.5" hidden="false" customHeight="true" outlineLevel="0" collapsed="false">
      <c r="A18" s="42"/>
      <c r="B18" s="35" t="s">
        <v>73</v>
      </c>
      <c r="C18" s="32"/>
      <c r="D18" s="38" t="n">
        <v>600</v>
      </c>
      <c r="E18" s="32"/>
      <c r="F18" s="32"/>
      <c r="G18" s="32"/>
      <c r="H18" s="32"/>
      <c r="I18" s="32"/>
      <c r="J18" s="32"/>
      <c r="K18" s="33"/>
      <c r="L18" s="33"/>
      <c r="M18" s="33"/>
      <c r="N18" s="33"/>
      <c r="O18" s="44" t="n">
        <v>100</v>
      </c>
      <c r="P18" s="33"/>
      <c r="Q18" s="44" t="n">
        <v>1000</v>
      </c>
      <c r="R18" s="34" t="n">
        <f aca="false">SUM(C18:Q18)</f>
        <v>1700</v>
      </c>
    </row>
    <row r="19" customFormat="false" ht="16.5" hidden="false" customHeight="true" outlineLevel="0" collapsed="false">
      <c r="A19" s="42"/>
      <c r="B19" s="35" t="s">
        <v>74</v>
      </c>
      <c r="C19" s="32"/>
      <c r="D19" s="32"/>
      <c r="E19" s="32"/>
      <c r="F19" s="32"/>
      <c r="G19" s="32"/>
      <c r="H19" s="32"/>
      <c r="I19" s="32"/>
      <c r="J19" s="32"/>
      <c r="K19" s="33"/>
      <c r="L19" s="33"/>
      <c r="M19" s="33"/>
      <c r="N19" s="33"/>
      <c r="O19" s="33"/>
      <c r="P19" s="33"/>
      <c r="Q19" s="33"/>
      <c r="R19" s="34" t="n">
        <f aca="false">SUM(C19:Q19)</f>
        <v>0</v>
      </c>
    </row>
    <row r="20" customFormat="false" ht="16.5" hidden="false" customHeight="true" outlineLevel="0" collapsed="false">
      <c r="A20" s="42"/>
      <c r="B20" s="35" t="s">
        <v>75</v>
      </c>
      <c r="C20" s="45"/>
      <c r="D20" s="45"/>
      <c r="E20" s="45"/>
      <c r="F20" s="45"/>
      <c r="G20" s="45"/>
      <c r="H20" s="45"/>
      <c r="I20" s="32"/>
      <c r="J20" s="32"/>
      <c r="K20" s="33"/>
      <c r="L20" s="33"/>
      <c r="M20" s="33"/>
      <c r="N20" s="33"/>
      <c r="O20" s="33"/>
      <c r="P20" s="33"/>
      <c r="Q20" s="33"/>
      <c r="R20" s="34" t="n">
        <f aca="false">SUM(C20:Q20)</f>
        <v>0</v>
      </c>
    </row>
    <row r="21" customFormat="false" ht="16.5" hidden="false" customHeight="true" outlineLevel="0" collapsed="false">
      <c r="A21" s="42"/>
      <c r="B21" s="35" t="s">
        <v>76</v>
      </c>
      <c r="C21" s="32"/>
      <c r="D21" s="32"/>
      <c r="E21" s="32"/>
      <c r="F21" s="32"/>
      <c r="G21" s="32"/>
      <c r="H21" s="32"/>
      <c r="I21" s="32"/>
      <c r="J21" s="32"/>
      <c r="K21" s="33"/>
      <c r="L21" s="33"/>
      <c r="M21" s="33"/>
      <c r="N21" s="33"/>
      <c r="O21" s="33"/>
      <c r="P21" s="33"/>
      <c r="Q21" s="33"/>
      <c r="R21" s="34" t="n">
        <f aca="false">SUM(C21:Q21)</f>
        <v>0</v>
      </c>
    </row>
    <row r="22" customFormat="false" ht="16.5" hidden="false" customHeight="true" outlineLevel="0" collapsed="false">
      <c r="A22" s="42"/>
      <c r="B22" s="35" t="s">
        <v>77</v>
      </c>
      <c r="C22" s="45"/>
      <c r="D22" s="45"/>
      <c r="E22" s="45"/>
      <c r="F22" s="45"/>
      <c r="G22" s="45"/>
      <c r="H22" s="45"/>
      <c r="I22" s="32"/>
      <c r="J22" s="32"/>
      <c r="K22" s="33"/>
      <c r="L22" s="33"/>
      <c r="M22" s="33"/>
      <c r="N22" s="33"/>
      <c r="O22" s="33"/>
      <c r="P22" s="33"/>
      <c r="Q22" s="33"/>
      <c r="R22" s="34" t="n">
        <f aca="false">IF(COUNT(C22:Q22)=0,0,MAX(C22:Q22))</f>
        <v>0</v>
      </c>
    </row>
    <row r="23" customFormat="false" ht="16.5" hidden="false" customHeight="true" outlineLevel="0" collapsed="false">
      <c r="A23" s="42"/>
      <c r="B23" s="35" t="s">
        <v>78</v>
      </c>
      <c r="C23" s="45"/>
      <c r="D23" s="45"/>
      <c r="E23" s="45"/>
      <c r="F23" s="45"/>
      <c r="G23" s="45"/>
      <c r="H23" s="45"/>
      <c r="I23" s="32"/>
      <c r="J23" s="32"/>
      <c r="K23" s="33"/>
      <c r="L23" s="33"/>
      <c r="M23" s="33"/>
      <c r="N23" s="33"/>
      <c r="O23" s="33"/>
      <c r="P23" s="33"/>
      <c r="Q23" s="44" t="n">
        <v>5000</v>
      </c>
      <c r="R23" s="34" t="n">
        <f aca="false">SUM(C23:Q23)</f>
        <v>5000</v>
      </c>
    </row>
    <row r="24" customFormat="false" ht="16.5" hidden="false" customHeight="true" outlineLevel="0" collapsed="false">
      <c r="A24" s="42"/>
      <c r="B24" s="35" t="s">
        <v>79</v>
      </c>
      <c r="C24" s="45"/>
      <c r="D24" s="45"/>
      <c r="E24" s="45"/>
      <c r="F24" s="45"/>
      <c r="G24" s="45"/>
      <c r="H24" s="45"/>
      <c r="I24" s="32"/>
      <c r="J24" s="32"/>
      <c r="K24" s="33"/>
      <c r="L24" s="33"/>
      <c r="M24" s="33"/>
      <c r="N24" s="33"/>
      <c r="O24" s="33"/>
      <c r="P24" s="33"/>
      <c r="Q24" s="44" t="n">
        <v>3000</v>
      </c>
      <c r="R24" s="34" t="n">
        <f aca="false">SUM(C24:Q24)</f>
        <v>3000</v>
      </c>
    </row>
    <row r="25" customFormat="false" ht="16.5" hidden="false" customHeight="true" outlineLevel="0" collapsed="false">
      <c r="A25" s="42"/>
      <c r="B25" s="35" t="s">
        <v>80</v>
      </c>
      <c r="C25" s="45"/>
      <c r="D25" s="45"/>
      <c r="E25" s="45"/>
      <c r="F25" s="45"/>
      <c r="G25" s="45"/>
      <c r="H25" s="45"/>
      <c r="I25" s="32"/>
      <c r="J25" s="32"/>
      <c r="K25" s="33"/>
      <c r="L25" s="33"/>
      <c r="M25" s="33"/>
      <c r="N25" s="33"/>
      <c r="O25" s="33"/>
      <c r="P25" s="33"/>
      <c r="Q25" s="44" t="n">
        <v>1000</v>
      </c>
      <c r="R25" s="34" t="n">
        <f aca="false">SUM(C25:Q25)</f>
        <v>1000</v>
      </c>
    </row>
    <row r="26" customFormat="false" ht="16.5" hidden="false" customHeight="true" outlineLevel="0" collapsed="false">
      <c r="A26" s="42"/>
      <c r="B26" s="35" t="s">
        <v>81</v>
      </c>
      <c r="C26" s="45"/>
      <c r="D26" s="45"/>
      <c r="E26" s="45"/>
      <c r="F26" s="45"/>
      <c r="G26" s="45"/>
      <c r="H26" s="45"/>
      <c r="I26" s="32"/>
      <c r="J26" s="32"/>
      <c r="K26" s="33"/>
      <c r="L26" s="33"/>
      <c r="M26" s="33"/>
      <c r="N26" s="33"/>
      <c r="O26" s="33"/>
      <c r="P26" s="33"/>
      <c r="Q26" s="44" t="n">
        <v>1000</v>
      </c>
      <c r="R26" s="34" t="n">
        <f aca="false">SUM(C26:Q26)</f>
        <v>1000</v>
      </c>
    </row>
    <row r="27" customFormat="false" ht="16.5" hidden="false" customHeight="true" outlineLevel="0" collapsed="false">
      <c r="A27" s="42"/>
      <c r="B27" s="35" t="s">
        <v>82</v>
      </c>
      <c r="C27" s="32"/>
      <c r="D27" s="32"/>
      <c r="E27" s="32"/>
      <c r="F27" s="32"/>
      <c r="G27" s="32"/>
      <c r="H27" s="32"/>
      <c r="I27" s="32"/>
      <c r="J27" s="32"/>
      <c r="K27" s="33"/>
      <c r="L27" s="33"/>
      <c r="M27" s="33"/>
      <c r="N27" s="33"/>
      <c r="O27" s="33"/>
      <c r="P27" s="33"/>
      <c r="Q27" s="33"/>
      <c r="R27" s="34" t="n">
        <f aca="false">SUM(C27:Q27)</f>
        <v>0</v>
      </c>
    </row>
    <row r="28" customFormat="false" ht="17.25" hidden="false" customHeight="true" outlineLevel="0" collapsed="false">
      <c r="A28" s="42"/>
      <c r="B28" s="35" t="s">
        <v>83</v>
      </c>
      <c r="C28" s="32"/>
      <c r="D28" s="32"/>
      <c r="E28" s="32"/>
      <c r="F28" s="32"/>
      <c r="G28" s="32"/>
      <c r="H28" s="32"/>
      <c r="I28" s="32"/>
      <c r="J28" s="32"/>
      <c r="K28" s="33"/>
      <c r="L28" s="33"/>
      <c r="M28" s="33"/>
      <c r="N28" s="33"/>
      <c r="O28" s="33"/>
      <c r="P28" s="33"/>
      <c r="Q28" s="33"/>
      <c r="R28" s="34" t="n">
        <f aca="false">SUM(C28:Q28)</f>
        <v>0</v>
      </c>
    </row>
    <row r="29" customFormat="false" ht="17.25" hidden="false" customHeight="true" outlineLevel="0" collapsed="false">
      <c r="A29" s="42"/>
      <c r="B29" s="39" t="s">
        <v>84</v>
      </c>
      <c r="C29" s="40"/>
      <c r="D29" s="40"/>
      <c r="E29" s="40"/>
      <c r="F29" s="40"/>
      <c r="G29" s="40"/>
      <c r="H29" s="40"/>
      <c r="I29" s="40"/>
      <c r="J29" s="40"/>
      <c r="K29" s="41"/>
      <c r="L29" s="41"/>
      <c r="M29" s="41"/>
      <c r="N29" s="41"/>
      <c r="O29" s="41"/>
      <c r="P29" s="41"/>
      <c r="Q29" s="16" t="n">
        <v>500</v>
      </c>
      <c r="R29" s="20" t="n">
        <f aca="false">SUM(C29:Q29)</f>
        <v>500</v>
      </c>
    </row>
    <row r="30" customFormat="false" ht="16.5" hidden="false" customHeight="true" outlineLevel="0" collapsed="false">
      <c r="A30" s="42" t="s">
        <v>85</v>
      </c>
      <c r="B30" s="35" t="s">
        <v>86</v>
      </c>
      <c r="C30" s="32"/>
      <c r="D30" s="32"/>
      <c r="E30" s="32"/>
      <c r="F30" s="32"/>
      <c r="G30" s="32"/>
      <c r="H30" s="32"/>
      <c r="I30" s="32"/>
      <c r="J30" s="32"/>
      <c r="K30" s="37" t="n">
        <v>500</v>
      </c>
      <c r="L30" s="33"/>
      <c r="M30" s="33"/>
      <c r="N30" s="33"/>
      <c r="O30" s="44" t="n">
        <v>1000</v>
      </c>
      <c r="P30" s="33"/>
      <c r="Q30" s="33"/>
      <c r="R30" s="34" t="n">
        <f aca="false">SUM(C30:Q30)</f>
        <v>1500</v>
      </c>
    </row>
    <row r="31" customFormat="false" ht="17.25" hidden="false" customHeight="true" outlineLevel="0" collapsed="false">
      <c r="A31" s="42"/>
      <c r="B31" s="31" t="s">
        <v>87</v>
      </c>
      <c r="C31" s="32"/>
      <c r="D31" s="38" t="n">
        <v>4000</v>
      </c>
      <c r="E31" s="32"/>
      <c r="F31" s="32"/>
      <c r="G31" s="32"/>
      <c r="H31" s="32"/>
      <c r="I31" s="32"/>
      <c r="J31" s="32"/>
      <c r="K31" s="37" t="n">
        <v>500</v>
      </c>
      <c r="L31" s="33"/>
      <c r="M31" s="33"/>
      <c r="N31" s="33"/>
      <c r="O31" s="44" t="n">
        <v>1000</v>
      </c>
      <c r="P31" s="33"/>
      <c r="Q31" s="33"/>
      <c r="R31" s="34" t="n">
        <f aca="false">SUM(C31:Q31)</f>
        <v>5500</v>
      </c>
    </row>
    <row r="32" customFormat="false" ht="16.5" hidden="false" customHeight="true" outlineLevel="0" collapsed="false">
      <c r="A32" s="42"/>
      <c r="B32" s="31" t="s">
        <v>88</v>
      </c>
      <c r="C32" s="32"/>
      <c r="D32" s="32"/>
      <c r="E32" s="32"/>
      <c r="F32" s="32"/>
      <c r="G32" s="32"/>
      <c r="H32" s="32"/>
      <c r="I32" s="32"/>
      <c r="J32" s="32"/>
      <c r="K32" s="33"/>
      <c r="L32" s="33"/>
      <c r="M32" s="33"/>
      <c r="N32" s="33"/>
      <c r="O32" s="33"/>
      <c r="P32" s="33"/>
      <c r="Q32" s="33"/>
      <c r="R32" s="34" t="n">
        <f aca="false">SUM(C32:Q32)</f>
        <v>0</v>
      </c>
    </row>
    <row r="33" customFormat="false" ht="16.5" hidden="false" customHeight="true" outlineLevel="0" collapsed="false">
      <c r="A33" s="42"/>
      <c r="B33" s="31" t="s">
        <v>89</v>
      </c>
      <c r="C33" s="32"/>
      <c r="D33" s="32"/>
      <c r="E33" s="32"/>
      <c r="F33" s="32"/>
      <c r="G33" s="32"/>
      <c r="H33" s="32"/>
      <c r="I33" s="32"/>
      <c r="J33" s="32"/>
      <c r="K33" s="33"/>
      <c r="L33" s="33"/>
      <c r="M33" s="33"/>
      <c r="N33" s="33"/>
      <c r="O33" s="33"/>
      <c r="P33" s="33"/>
      <c r="Q33" s="33"/>
      <c r="R33" s="34" t="n">
        <f aca="false">SUM(C33:Q33)</f>
        <v>0</v>
      </c>
    </row>
    <row r="34" customFormat="false" ht="16.5" hidden="false" customHeight="true" outlineLevel="0" collapsed="false">
      <c r="A34" s="42"/>
      <c r="B34" s="31" t="s">
        <v>90</v>
      </c>
      <c r="C34" s="32"/>
      <c r="D34" s="32"/>
      <c r="E34" s="32"/>
      <c r="F34" s="32"/>
      <c r="G34" s="32"/>
      <c r="H34" s="32"/>
      <c r="I34" s="32"/>
      <c r="J34" s="32"/>
      <c r="K34" s="33"/>
      <c r="L34" s="33"/>
      <c r="M34" s="33"/>
      <c r="N34" s="33"/>
      <c r="O34" s="33"/>
      <c r="P34" s="33"/>
      <c r="Q34" s="33"/>
      <c r="R34" s="34" t="n">
        <f aca="false">SUM(C34:Q34)</f>
        <v>0</v>
      </c>
    </row>
    <row r="35" customFormat="false" ht="16.5" hidden="false" customHeight="true" outlineLevel="0" collapsed="false">
      <c r="A35" s="42"/>
      <c r="B35" s="35" t="s">
        <v>91</v>
      </c>
      <c r="C35" s="32"/>
      <c r="D35" s="32"/>
      <c r="E35" s="32"/>
      <c r="F35" s="32"/>
      <c r="G35" s="32"/>
      <c r="H35" s="32"/>
      <c r="I35" s="32"/>
      <c r="J35" s="32"/>
      <c r="K35" s="33"/>
      <c r="L35" s="33"/>
      <c r="M35" s="33"/>
      <c r="N35" s="33"/>
      <c r="O35" s="33"/>
      <c r="P35" s="33"/>
      <c r="Q35" s="33"/>
      <c r="R35" s="34" t="n">
        <f aca="false">SUM(C35:Q35)</f>
        <v>0</v>
      </c>
    </row>
    <row r="36" customFormat="false" ht="16.5" hidden="false" customHeight="true" outlineLevel="0" collapsed="false">
      <c r="A36" s="42"/>
      <c r="B36" s="35" t="s">
        <v>92</v>
      </c>
      <c r="C36" s="32"/>
      <c r="D36" s="32"/>
      <c r="E36" s="32"/>
      <c r="F36" s="32"/>
      <c r="G36" s="32"/>
      <c r="H36" s="32"/>
      <c r="I36" s="32"/>
      <c r="J36" s="32"/>
      <c r="K36" s="33"/>
      <c r="L36" s="33"/>
      <c r="M36" s="33"/>
      <c r="N36" s="33"/>
      <c r="O36" s="33"/>
      <c r="P36" s="33"/>
      <c r="Q36" s="33"/>
      <c r="R36" s="34" t="n">
        <f aca="false">SUM(C36:Q36)</f>
        <v>0</v>
      </c>
    </row>
    <row r="37" customFormat="false" ht="16.5" hidden="false" customHeight="true" outlineLevel="0" collapsed="false">
      <c r="A37" s="42"/>
      <c r="B37" s="35" t="s">
        <v>93</v>
      </c>
      <c r="C37" s="32"/>
      <c r="D37" s="32"/>
      <c r="E37" s="32"/>
      <c r="F37" s="32"/>
      <c r="G37" s="32"/>
      <c r="H37" s="32"/>
      <c r="I37" s="32"/>
      <c r="J37" s="32"/>
      <c r="K37" s="33"/>
      <c r="L37" s="33"/>
      <c r="M37" s="33"/>
      <c r="N37" s="33"/>
      <c r="O37" s="33"/>
      <c r="P37" s="33"/>
      <c r="Q37" s="33"/>
      <c r="R37" s="34" t="n">
        <f aca="false">SUM(C37:Q37)</f>
        <v>0</v>
      </c>
    </row>
    <row r="38" customFormat="false" ht="16.5" hidden="false" customHeight="true" outlineLevel="0" collapsed="false">
      <c r="A38" s="42"/>
      <c r="B38" s="39" t="s">
        <v>94</v>
      </c>
      <c r="C38" s="40"/>
      <c r="D38" s="40"/>
      <c r="E38" s="40"/>
      <c r="F38" s="40"/>
      <c r="G38" s="40"/>
      <c r="H38" s="40"/>
      <c r="I38" s="40"/>
      <c r="J38" s="40"/>
      <c r="K38" s="41"/>
      <c r="L38" s="41"/>
      <c r="M38" s="41"/>
      <c r="N38" s="41"/>
      <c r="O38" s="41"/>
      <c r="P38" s="41"/>
      <c r="Q38" s="41"/>
      <c r="R38" s="20" t="n">
        <f aca="false">SUM(C38:Q38)</f>
        <v>0</v>
      </c>
    </row>
    <row r="39" customFormat="false" ht="16.5" hidden="false" customHeight="true" outlineLevel="0" collapsed="false">
      <c r="A39" s="42" t="s">
        <v>95</v>
      </c>
      <c r="B39" s="35" t="s">
        <v>96</v>
      </c>
      <c r="C39" s="32"/>
      <c r="D39" s="32"/>
      <c r="E39" s="32"/>
      <c r="F39" s="32"/>
      <c r="G39" s="32"/>
      <c r="H39" s="32"/>
      <c r="I39" s="32"/>
      <c r="J39" s="32"/>
      <c r="K39" s="33"/>
      <c r="L39" s="33"/>
      <c r="M39" s="33"/>
      <c r="N39" s="33"/>
      <c r="O39" s="33"/>
      <c r="P39" s="33"/>
      <c r="Q39" s="33"/>
      <c r="R39" s="34" t="n">
        <f aca="false">SUM(C39:Q39)</f>
        <v>0</v>
      </c>
    </row>
    <row r="40" customFormat="false" ht="16.5" hidden="false" customHeight="true" outlineLevel="0" collapsed="false">
      <c r="A40" s="42"/>
      <c r="B40" s="35" t="s">
        <v>97</v>
      </c>
      <c r="C40" s="32"/>
      <c r="D40" s="32"/>
      <c r="E40" s="32"/>
      <c r="F40" s="32"/>
      <c r="G40" s="32"/>
      <c r="H40" s="32"/>
      <c r="I40" s="32"/>
      <c r="J40" s="32"/>
      <c r="K40" s="33"/>
      <c r="L40" s="33"/>
      <c r="M40" s="33"/>
      <c r="N40" s="33"/>
      <c r="O40" s="33"/>
      <c r="P40" s="33"/>
      <c r="Q40" s="33"/>
      <c r="R40" s="34" t="n">
        <f aca="false">SUM(C40:Q40)</f>
        <v>0</v>
      </c>
    </row>
    <row r="41" customFormat="false" ht="17.25" hidden="false" customHeight="true" outlineLevel="0" collapsed="false">
      <c r="A41" s="42"/>
      <c r="B41" s="35" t="s">
        <v>98</v>
      </c>
      <c r="C41" s="32"/>
      <c r="D41" s="32"/>
      <c r="E41" s="32"/>
      <c r="F41" s="32"/>
      <c r="G41" s="32"/>
      <c r="H41" s="32"/>
      <c r="I41" s="32"/>
      <c r="J41" s="32"/>
      <c r="K41" s="33"/>
      <c r="L41" s="33"/>
      <c r="M41" s="33"/>
      <c r="N41" s="33"/>
      <c r="O41" s="33"/>
      <c r="P41" s="33"/>
      <c r="Q41" s="33"/>
      <c r="R41" s="34" t="n">
        <f aca="false">SUM(C41:Q41)</f>
        <v>0</v>
      </c>
    </row>
    <row r="42" customFormat="false" ht="16.5" hidden="false" customHeight="true" outlineLevel="0" collapsed="false">
      <c r="A42" s="42"/>
      <c r="B42" s="35" t="s">
        <v>99</v>
      </c>
      <c r="C42" s="32"/>
      <c r="D42" s="32"/>
      <c r="E42" s="32"/>
      <c r="F42" s="32"/>
      <c r="G42" s="32"/>
      <c r="H42" s="32"/>
      <c r="I42" s="32"/>
      <c r="J42" s="32"/>
      <c r="K42" s="33"/>
      <c r="L42" s="33"/>
      <c r="M42" s="33"/>
      <c r="N42" s="33"/>
      <c r="O42" s="33"/>
      <c r="P42" s="33"/>
      <c r="Q42" s="33"/>
      <c r="R42" s="34" t="n">
        <f aca="false">SUM(C42:Q42)</f>
        <v>0</v>
      </c>
    </row>
    <row r="43" customFormat="false" ht="16.5" hidden="false" customHeight="true" outlineLevel="0" collapsed="false">
      <c r="A43" s="42"/>
      <c r="B43" s="35" t="s">
        <v>100</v>
      </c>
      <c r="C43" s="32"/>
      <c r="D43" s="32"/>
      <c r="E43" s="32"/>
      <c r="F43" s="32"/>
      <c r="G43" s="32"/>
      <c r="H43" s="32"/>
      <c r="I43" s="32"/>
      <c r="J43" s="32"/>
      <c r="K43" s="33"/>
      <c r="L43" s="33"/>
      <c r="M43" s="33"/>
      <c r="N43" s="33"/>
      <c r="O43" s="33"/>
      <c r="P43" s="33"/>
      <c r="Q43" s="33"/>
      <c r="R43" s="34" t="n">
        <f aca="false">SUM(C43:Q43)</f>
        <v>0</v>
      </c>
    </row>
    <row r="44" customFormat="false" ht="17.25" hidden="false" customHeight="true" outlineLevel="0" collapsed="false">
      <c r="A44" s="42"/>
      <c r="B44" s="35" t="s">
        <v>101</v>
      </c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4" t="n">
        <f aca="false">SUM(C44:Q44)</f>
        <v>0</v>
      </c>
    </row>
    <row r="45" customFormat="false" ht="17.25" hidden="false" customHeight="true" outlineLevel="0" collapsed="false">
      <c r="A45" s="42"/>
      <c r="B45" s="35" t="s">
        <v>102</v>
      </c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4" t="n">
        <f aca="false">SUM(C45:Q45)</f>
        <v>0</v>
      </c>
    </row>
    <row r="46" customFormat="false" ht="16.5" hidden="false" customHeight="true" outlineLevel="0" collapsed="false">
      <c r="A46" s="42"/>
      <c r="B46" s="35" t="s">
        <v>103</v>
      </c>
      <c r="C46" s="32"/>
      <c r="D46" s="32"/>
      <c r="E46" s="32"/>
      <c r="F46" s="32"/>
      <c r="G46" s="32"/>
      <c r="H46" s="32"/>
      <c r="I46" s="32"/>
      <c r="J46" s="32"/>
      <c r="K46" s="33"/>
      <c r="L46" s="33"/>
      <c r="M46" s="33"/>
      <c r="N46" s="33"/>
      <c r="O46" s="33"/>
      <c r="P46" s="33"/>
      <c r="Q46" s="33"/>
      <c r="R46" s="34" t="n">
        <f aca="false">SUM(C46:Q46)</f>
        <v>0</v>
      </c>
    </row>
    <row r="47" customFormat="false" ht="16.5" hidden="false" customHeight="true" outlineLevel="0" collapsed="false">
      <c r="A47" s="42"/>
      <c r="B47" s="46" t="s">
        <v>104</v>
      </c>
      <c r="C47" s="32"/>
      <c r="D47" s="32"/>
      <c r="E47" s="32"/>
      <c r="F47" s="32"/>
      <c r="G47" s="32"/>
      <c r="H47" s="32"/>
      <c r="I47" s="32"/>
      <c r="J47" s="32"/>
      <c r="K47" s="33"/>
      <c r="L47" s="33"/>
      <c r="M47" s="33"/>
      <c r="N47" s="33"/>
      <c r="O47" s="33"/>
      <c r="P47" s="33"/>
      <c r="Q47" s="33"/>
      <c r="R47" s="34" t="n">
        <f aca="false">SUM(C47:Q47)</f>
        <v>0</v>
      </c>
    </row>
    <row r="48" customFormat="false" ht="16.5" hidden="false" customHeight="true" outlineLevel="0" collapsed="false">
      <c r="A48" s="42"/>
      <c r="B48" s="47" t="s">
        <v>105</v>
      </c>
      <c r="C48" s="32"/>
      <c r="D48" s="32"/>
      <c r="E48" s="32"/>
      <c r="F48" s="32"/>
      <c r="G48" s="32"/>
      <c r="H48" s="32"/>
      <c r="I48" s="32"/>
      <c r="J48" s="32"/>
      <c r="K48" s="37" t="n">
        <v>500</v>
      </c>
      <c r="L48" s="33"/>
      <c r="M48" s="33"/>
      <c r="N48" s="33"/>
      <c r="O48" s="44" t="n">
        <v>1000</v>
      </c>
      <c r="P48" s="33"/>
      <c r="Q48" s="33"/>
      <c r="R48" s="34" t="n">
        <f aca="false">SUM(C48:Q48)</f>
        <v>1500</v>
      </c>
    </row>
    <row r="49" customFormat="false" ht="16.5" hidden="false" customHeight="true" outlineLevel="0" collapsed="false">
      <c r="A49" s="42"/>
      <c r="B49" s="31" t="s">
        <v>106</v>
      </c>
      <c r="C49" s="32"/>
      <c r="D49" s="38" t="n">
        <v>4000</v>
      </c>
      <c r="E49" s="32"/>
      <c r="F49" s="32"/>
      <c r="G49" s="32"/>
      <c r="H49" s="32"/>
      <c r="I49" s="32"/>
      <c r="J49" s="32"/>
      <c r="K49" s="37" t="n">
        <v>500</v>
      </c>
      <c r="L49" s="33"/>
      <c r="M49" s="33"/>
      <c r="N49" s="33"/>
      <c r="O49" s="44" t="n">
        <v>1000</v>
      </c>
      <c r="P49" s="33"/>
      <c r="Q49" s="33"/>
      <c r="R49" s="34" t="n">
        <f aca="false">SUM(C49:Q49)</f>
        <v>5500</v>
      </c>
    </row>
    <row r="50" customFormat="false" ht="16.5" hidden="false" customHeight="true" outlineLevel="0" collapsed="false">
      <c r="A50" s="42"/>
      <c r="B50" s="31" t="s">
        <v>107</v>
      </c>
      <c r="C50" s="32"/>
      <c r="D50" s="32"/>
      <c r="E50" s="32"/>
      <c r="F50" s="32"/>
      <c r="G50" s="32"/>
      <c r="H50" s="32"/>
      <c r="I50" s="32"/>
      <c r="J50" s="32"/>
      <c r="K50" s="33"/>
      <c r="L50" s="33"/>
      <c r="M50" s="33"/>
      <c r="N50" s="33"/>
      <c r="O50" s="33"/>
      <c r="P50" s="33"/>
      <c r="Q50" s="33"/>
      <c r="R50" s="34" t="n">
        <f aca="false">SUM(C50:Q50)</f>
        <v>0</v>
      </c>
    </row>
    <row r="51" customFormat="false" ht="16.5" hidden="false" customHeight="true" outlineLevel="0" collapsed="false">
      <c r="A51" s="42"/>
      <c r="B51" s="39" t="s">
        <v>94</v>
      </c>
      <c r="C51" s="40"/>
      <c r="D51" s="40"/>
      <c r="E51" s="40"/>
      <c r="F51" s="40"/>
      <c r="G51" s="40"/>
      <c r="H51" s="40"/>
      <c r="I51" s="40"/>
      <c r="J51" s="40"/>
      <c r="K51" s="41"/>
      <c r="L51" s="41"/>
      <c r="M51" s="41"/>
      <c r="N51" s="41"/>
      <c r="O51" s="41"/>
      <c r="P51" s="41"/>
      <c r="Q51" s="41"/>
      <c r="R51" s="20" t="n">
        <f aca="false">SUM(C51:Q51)</f>
        <v>0</v>
      </c>
    </row>
    <row r="52" customFormat="false" ht="16.5" hidden="false" customHeight="true" outlineLevel="0" collapsed="false">
      <c r="A52" s="42" t="s">
        <v>108</v>
      </c>
      <c r="B52" s="35" t="s">
        <v>109</v>
      </c>
      <c r="C52" s="32"/>
      <c r="D52" s="38" t="n">
        <v>5</v>
      </c>
      <c r="E52" s="32"/>
      <c r="F52" s="32"/>
      <c r="G52" s="32"/>
      <c r="H52" s="32"/>
      <c r="I52" s="32"/>
      <c r="J52" s="32"/>
      <c r="K52" s="33"/>
      <c r="L52" s="33"/>
      <c r="M52" s="33"/>
      <c r="N52" s="33"/>
      <c r="O52" s="33"/>
      <c r="P52" s="33"/>
      <c r="Q52" s="33"/>
      <c r="R52" s="34" t="n">
        <f aca="false">SUM(C52:Q52)</f>
        <v>5</v>
      </c>
    </row>
    <row r="53" customFormat="false" ht="16.5" hidden="false" customHeight="true" outlineLevel="0" collapsed="false">
      <c r="A53" s="42"/>
      <c r="B53" s="35" t="s">
        <v>110</v>
      </c>
      <c r="C53" s="32"/>
      <c r="D53" s="32"/>
      <c r="E53" s="32"/>
      <c r="F53" s="32"/>
      <c r="G53" s="32"/>
      <c r="H53" s="32"/>
      <c r="I53" s="32"/>
      <c r="J53" s="32"/>
      <c r="K53" s="33"/>
      <c r="L53" s="33"/>
      <c r="M53" s="33"/>
      <c r="N53" s="33"/>
      <c r="O53" s="33"/>
      <c r="P53" s="33"/>
      <c r="Q53" s="33"/>
      <c r="R53" s="34" t="n">
        <f aca="false">SUM(C53:Q53)</f>
        <v>0</v>
      </c>
    </row>
    <row r="54" customFormat="false" ht="16.5" hidden="false" customHeight="true" outlineLevel="0" collapsed="false">
      <c r="A54" s="42"/>
      <c r="B54" s="35" t="s">
        <v>111</v>
      </c>
      <c r="C54" s="32"/>
      <c r="D54" s="32"/>
      <c r="E54" s="32"/>
      <c r="F54" s="32"/>
      <c r="G54" s="32"/>
      <c r="H54" s="32"/>
      <c r="I54" s="32"/>
      <c r="J54" s="32"/>
      <c r="K54" s="33"/>
      <c r="L54" s="33"/>
      <c r="M54" s="33"/>
      <c r="N54" s="33"/>
      <c r="O54" s="33"/>
      <c r="P54" s="33"/>
      <c r="Q54" s="33"/>
      <c r="R54" s="34" t="n">
        <f aca="false">SUM(C54:Q54)</f>
        <v>0</v>
      </c>
    </row>
    <row r="55" customFormat="false" ht="16.5" hidden="false" customHeight="true" outlineLevel="0" collapsed="false">
      <c r="A55" s="42"/>
      <c r="B55" s="35" t="s">
        <v>112</v>
      </c>
      <c r="C55" s="32"/>
      <c r="D55" s="32"/>
      <c r="E55" s="32"/>
      <c r="F55" s="32"/>
      <c r="G55" s="32"/>
      <c r="H55" s="32"/>
      <c r="I55" s="32"/>
      <c r="J55" s="32"/>
      <c r="K55" s="33"/>
      <c r="L55" s="33"/>
      <c r="M55" s="33"/>
      <c r="N55" s="33"/>
      <c r="O55" s="33"/>
      <c r="P55" s="33"/>
      <c r="Q55" s="33"/>
      <c r="R55" s="34" t="n">
        <f aca="false">SUM(C55:Q55)</f>
        <v>0</v>
      </c>
    </row>
    <row r="56" customFormat="false" ht="16.5" hidden="false" customHeight="true" outlineLevel="0" collapsed="false">
      <c r="A56" s="42"/>
      <c r="B56" s="35" t="s">
        <v>113</v>
      </c>
      <c r="C56" s="32"/>
      <c r="D56" s="38" t="n">
        <v>5</v>
      </c>
      <c r="E56" s="32"/>
      <c r="F56" s="32"/>
      <c r="G56" s="32"/>
      <c r="H56" s="32"/>
      <c r="I56" s="32"/>
      <c r="J56" s="38" t="n">
        <v>2</v>
      </c>
      <c r="K56" s="33"/>
      <c r="L56" s="33"/>
      <c r="M56" s="33"/>
      <c r="N56" s="33"/>
      <c r="O56" s="33"/>
      <c r="P56" s="33"/>
      <c r="Q56" s="33"/>
      <c r="R56" s="34" t="n">
        <f aca="false">SUM(C56:Q56)</f>
        <v>7</v>
      </c>
    </row>
    <row r="57" customFormat="false" ht="16.5" hidden="false" customHeight="true" outlineLevel="0" collapsed="false">
      <c r="A57" s="42"/>
      <c r="B57" s="35" t="s">
        <v>114</v>
      </c>
      <c r="C57" s="32"/>
      <c r="D57" s="32"/>
      <c r="E57" s="32"/>
      <c r="F57" s="32"/>
      <c r="G57" s="32"/>
      <c r="H57" s="32"/>
      <c r="I57" s="32"/>
      <c r="J57" s="38" t="n">
        <v>10</v>
      </c>
      <c r="K57" s="33"/>
      <c r="L57" s="33"/>
      <c r="M57" s="33"/>
      <c r="N57" s="33"/>
      <c r="O57" s="33"/>
      <c r="P57" s="33"/>
      <c r="Q57" s="33"/>
      <c r="R57" s="34" t="n">
        <f aca="false">SUM(C57:Q57)</f>
        <v>10</v>
      </c>
    </row>
    <row r="58" customFormat="false" ht="16.5" hidden="false" customHeight="true" outlineLevel="0" collapsed="false">
      <c r="A58" s="42"/>
      <c r="B58" s="35" t="s">
        <v>115</v>
      </c>
      <c r="C58" s="32"/>
      <c r="D58" s="32"/>
      <c r="E58" s="32"/>
      <c r="F58" s="32"/>
      <c r="G58" s="32"/>
      <c r="H58" s="32"/>
      <c r="I58" s="32"/>
      <c r="J58" s="32"/>
      <c r="K58" s="33"/>
      <c r="L58" s="33"/>
      <c r="M58" s="33"/>
      <c r="N58" s="33"/>
      <c r="O58" s="33"/>
      <c r="P58" s="33"/>
      <c r="Q58" s="33"/>
      <c r="R58" s="34" t="n">
        <f aca="false">IF(COUNT(C58:Q58)=0,0,MAX(C58:Q58))</f>
        <v>0</v>
      </c>
    </row>
    <row r="59" customFormat="false" ht="16.5" hidden="false" customHeight="true" outlineLevel="0" collapsed="false">
      <c r="A59" s="42"/>
      <c r="B59" s="35" t="s">
        <v>116</v>
      </c>
      <c r="C59" s="32"/>
      <c r="D59" s="32"/>
      <c r="E59" s="32"/>
      <c r="F59" s="32"/>
      <c r="G59" s="32"/>
      <c r="H59" s="32"/>
      <c r="I59" s="32"/>
      <c r="J59" s="32"/>
      <c r="K59" s="33"/>
      <c r="L59" s="33"/>
      <c r="M59" s="33"/>
      <c r="N59" s="33"/>
      <c r="O59" s="33"/>
      <c r="P59" s="33"/>
      <c r="Q59" s="33"/>
      <c r="R59" s="34" t="n">
        <f aca="false">SUM(C59:Q59)</f>
        <v>0</v>
      </c>
    </row>
    <row r="60" customFormat="false" ht="16.5" hidden="false" customHeight="true" outlineLevel="0" collapsed="false">
      <c r="A60" s="42"/>
      <c r="B60" s="35" t="s">
        <v>117</v>
      </c>
      <c r="C60" s="32"/>
      <c r="D60" s="32"/>
      <c r="E60" s="32"/>
      <c r="F60" s="32"/>
      <c r="G60" s="32"/>
      <c r="H60" s="32"/>
      <c r="I60" s="32"/>
      <c r="J60" s="32"/>
      <c r="K60" s="33"/>
      <c r="L60" s="33"/>
      <c r="M60" s="33"/>
      <c r="N60" s="33"/>
      <c r="O60" s="33"/>
      <c r="P60" s="33"/>
      <c r="Q60" s="33"/>
      <c r="R60" s="34" t="n">
        <f aca="false">IF(COUNT(C60:Q60)=0,0,MAX(C60:Q60))</f>
        <v>0</v>
      </c>
    </row>
    <row r="61" customFormat="false" ht="16.5" hidden="false" customHeight="true" outlineLevel="0" collapsed="false">
      <c r="A61" s="42"/>
      <c r="B61" s="46" t="s">
        <v>118</v>
      </c>
      <c r="C61" s="32"/>
      <c r="D61" s="32"/>
      <c r="E61" s="32"/>
      <c r="F61" s="32"/>
      <c r="G61" s="32"/>
      <c r="H61" s="32"/>
      <c r="I61" s="32"/>
      <c r="J61" s="32"/>
      <c r="K61" s="33"/>
      <c r="L61" s="33"/>
      <c r="M61" s="33"/>
      <c r="N61" s="33"/>
      <c r="O61" s="33"/>
      <c r="P61" s="33"/>
      <c r="Q61" s="33"/>
      <c r="R61" s="34" t="n">
        <f aca="false">SUM(C61:Q61)</f>
        <v>0</v>
      </c>
    </row>
    <row r="62" customFormat="false" ht="17.25" hidden="false" customHeight="true" outlineLevel="0" collapsed="false">
      <c r="A62" s="42"/>
      <c r="B62" s="46" t="s">
        <v>119</v>
      </c>
      <c r="C62" s="32"/>
      <c r="D62" s="32"/>
      <c r="E62" s="32"/>
      <c r="F62" s="32"/>
      <c r="G62" s="32"/>
      <c r="H62" s="32"/>
      <c r="I62" s="32"/>
      <c r="J62" s="32"/>
      <c r="K62" s="33"/>
      <c r="L62" s="33"/>
      <c r="M62" s="33"/>
      <c r="N62" s="33"/>
      <c r="O62" s="33"/>
      <c r="P62" s="33"/>
      <c r="Q62" s="33"/>
      <c r="R62" s="34" t="n">
        <f aca="false">SUM(C62:Q62)</f>
        <v>0</v>
      </c>
    </row>
    <row r="63" customFormat="false" ht="17.25" hidden="false" customHeight="true" outlineLevel="0" collapsed="false">
      <c r="A63" s="42"/>
      <c r="B63" s="35" t="s">
        <v>120</v>
      </c>
      <c r="C63" s="32"/>
      <c r="D63" s="32"/>
      <c r="E63" s="32"/>
      <c r="F63" s="32"/>
      <c r="G63" s="32"/>
      <c r="H63" s="32"/>
      <c r="I63" s="32"/>
      <c r="J63" s="32"/>
      <c r="K63" s="33"/>
      <c r="L63" s="33"/>
      <c r="M63" s="33"/>
      <c r="N63" s="33"/>
      <c r="O63" s="33"/>
      <c r="P63" s="33"/>
      <c r="Q63" s="33"/>
      <c r="R63" s="34" t="n">
        <f aca="false">SUM(C63:Q63)</f>
        <v>0</v>
      </c>
    </row>
    <row r="64" customFormat="false" ht="16.5" hidden="false" customHeight="true" outlineLevel="0" collapsed="false">
      <c r="A64" s="42"/>
      <c r="B64" s="39" t="s">
        <v>121</v>
      </c>
      <c r="C64" s="40"/>
      <c r="D64" s="40"/>
      <c r="E64" s="40"/>
      <c r="F64" s="40"/>
      <c r="G64" s="40"/>
      <c r="H64" s="40"/>
      <c r="I64" s="40"/>
      <c r="J64" s="40"/>
      <c r="K64" s="41"/>
      <c r="L64" s="41"/>
      <c r="M64" s="41"/>
      <c r="N64" s="41"/>
      <c r="O64" s="41"/>
      <c r="P64" s="41"/>
      <c r="Q64" s="41"/>
      <c r="R64" s="20" t="n">
        <f aca="false">SUM(C64:Q64)</f>
        <v>0</v>
      </c>
    </row>
    <row r="65" customFormat="false" ht="16.5" hidden="false" customHeight="true" outlineLevel="0" collapsed="false">
      <c r="A65" s="42" t="s">
        <v>122</v>
      </c>
      <c r="B65" s="35" t="s">
        <v>123</v>
      </c>
      <c r="C65" s="32"/>
      <c r="D65" s="38" t="n">
        <v>100</v>
      </c>
      <c r="E65" s="32"/>
      <c r="F65" s="32"/>
      <c r="G65" s="32"/>
      <c r="H65" s="32"/>
      <c r="I65" s="32"/>
      <c r="J65" s="32"/>
      <c r="K65" s="33"/>
      <c r="L65" s="33"/>
      <c r="M65" s="33"/>
      <c r="N65" s="33"/>
      <c r="O65" s="33"/>
      <c r="P65" s="33"/>
      <c r="Q65" s="33"/>
      <c r="R65" s="34" t="n">
        <f aca="false">SUM(C65:Q65)</f>
        <v>100</v>
      </c>
    </row>
    <row r="66" customFormat="false" ht="16.5" hidden="false" customHeight="true" outlineLevel="0" collapsed="false">
      <c r="A66" s="42"/>
      <c r="B66" s="35" t="s">
        <v>124</v>
      </c>
      <c r="C66" s="32"/>
      <c r="D66" s="32"/>
      <c r="E66" s="32"/>
      <c r="F66" s="32"/>
      <c r="G66" s="32"/>
      <c r="H66" s="32"/>
      <c r="I66" s="32"/>
      <c r="J66" s="32"/>
      <c r="K66" s="33"/>
      <c r="L66" s="33"/>
      <c r="M66" s="33"/>
      <c r="N66" s="33"/>
      <c r="O66" s="33"/>
      <c r="P66" s="33"/>
      <c r="Q66" s="33"/>
      <c r="R66" s="34" t="n">
        <f aca="false">SUM(C66:Q66)</f>
        <v>0</v>
      </c>
    </row>
    <row r="67" customFormat="false" ht="16.5" hidden="false" customHeight="true" outlineLevel="0" collapsed="false">
      <c r="A67" s="42"/>
      <c r="B67" s="35" t="s">
        <v>125</v>
      </c>
      <c r="C67" s="32"/>
      <c r="D67" s="38" t="n">
        <v>200</v>
      </c>
      <c r="E67" s="32"/>
      <c r="F67" s="45"/>
      <c r="G67" s="32"/>
      <c r="H67" s="32"/>
      <c r="I67" s="32"/>
      <c r="J67" s="32"/>
      <c r="K67" s="33"/>
      <c r="L67" s="33"/>
      <c r="M67" s="33"/>
      <c r="N67" s="33"/>
      <c r="O67" s="33"/>
      <c r="P67" s="33"/>
      <c r="Q67" s="33"/>
      <c r="R67" s="34" t="n">
        <f aca="false">SUM(C67:Q67)</f>
        <v>200</v>
      </c>
    </row>
    <row r="68" customFormat="false" ht="17.25" hidden="false" customHeight="true" outlineLevel="0" collapsed="false">
      <c r="A68" s="42"/>
      <c r="B68" s="35" t="s">
        <v>126</v>
      </c>
      <c r="C68" s="32"/>
      <c r="D68" s="32"/>
      <c r="E68" s="32"/>
      <c r="F68" s="45"/>
      <c r="G68" s="32"/>
      <c r="H68" s="32"/>
      <c r="I68" s="32"/>
      <c r="J68" s="36" t="s">
        <v>127</v>
      </c>
      <c r="K68" s="33"/>
      <c r="L68" s="33"/>
      <c r="M68" s="33"/>
      <c r="N68" s="33"/>
      <c r="O68" s="33"/>
      <c r="P68" s="33"/>
      <c r="Q68" s="33"/>
      <c r="R68" s="48" t="s">
        <v>127</v>
      </c>
    </row>
    <row r="69" customFormat="false" ht="16.5" hidden="false" customHeight="true" outlineLevel="0" collapsed="false">
      <c r="A69" s="42"/>
      <c r="B69" s="35" t="s">
        <v>128</v>
      </c>
      <c r="C69" s="32"/>
      <c r="D69" s="32"/>
      <c r="E69" s="32"/>
      <c r="F69" s="45"/>
      <c r="G69" s="32"/>
      <c r="H69" s="32"/>
      <c r="I69" s="32"/>
      <c r="J69" s="32"/>
      <c r="K69" s="33"/>
      <c r="L69" s="33"/>
      <c r="M69" s="33"/>
      <c r="N69" s="33"/>
      <c r="O69" s="33"/>
      <c r="P69" s="33"/>
      <c r="Q69" s="33"/>
      <c r="R69" s="34" t="n">
        <f aca="false">SUM(C69:Q69)</f>
        <v>0</v>
      </c>
    </row>
    <row r="70" customFormat="false" ht="16.5" hidden="false" customHeight="true" outlineLevel="0" collapsed="false">
      <c r="A70" s="42"/>
      <c r="B70" s="35" t="s">
        <v>129</v>
      </c>
      <c r="C70" s="32"/>
      <c r="D70" s="32"/>
      <c r="E70" s="32"/>
      <c r="F70" s="32"/>
      <c r="G70" s="32"/>
      <c r="H70" s="32"/>
      <c r="I70" s="32"/>
      <c r="J70" s="32"/>
      <c r="K70" s="33"/>
      <c r="L70" s="33"/>
      <c r="M70" s="33"/>
      <c r="N70" s="33"/>
      <c r="O70" s="33"/>
      <c r="P70" s="33"/>
      <c r="Q70" s="33"/>
      <c r="R70" s="34" t="n">
        <f aca="false">SUM(C70:Q70)</f>
        <v>0</v>
      </c>
    </row>
    <row r="71" customFormat="false" ht="16.5" hidden="false" customHeight="true" outlineLevel="0" collapsed="false">
      <c r="A71" s="42"/>
      <c r="B71" s="35" t="s">
        <v>130</v>
      </c>
      <c r="C71" s="32"/>
      <c r="D71" s="32"/>
      <c r="E71" s="32"/>
      <c r="F71" s="32"/>
      <c r="G71" s="32"/>
      <c r="H71" s="32"/>
      <c r="I71" s="32"/>
      <c r="J71" s="38" t="n">
        <v>40</v>
      </c>
      <c r="K71" s="33"/>
      <c r="L71" s="33"/>
      <c r="M71" s="33"/>
      <c r="N71" s="33"/>
      <c r="O71" s="33"/>
      <c r="P71" s="33"/>
      <c r="Q71" s="33"/>
      <c r="R71" s="34" t="n">
        <f aca="false">SUM(C71:Q71)</f>
        <v>40</v>
      </c>
    </row>
    <row r="72" customFormat="false" ht="16.5" hidden="false" customHeight="true" outlineLevel="0" collapsed="false">
      <c r="A72" s="42"/>
      <c r="B72" s="46" t="s">
        <v>131</v>
      </c>
      <c r="C72" s="32"/>
      <c r="D72" s="32"/>
      <c r="E72" s="32"/>
      <c r="F72" s="32"/>
      <c r="G72" s="32"/>
      <c r="H72" s="32"/>
      <c r="I72" s="32"/>
      <c r="J72" s="38" t="n">
        <v>350</v>
      </c>
      <c r="K72" s="33"/>
      <c r="L72" s="33"/>
      <c r="M72" s="33"/>
      <c r="N72" s="33"/>
      <c r="O72" s="33"/>
      <c r="P72" s="33"/>
      <c r="Q72" s="33"/>
      <c r="R72" s="34" t="n">
        <f aca="false">SUM(C72:Q72)</f>
        <v>350</v>
      </c>
    </row>
    <row r="73" customFormat="false" ht="16.5" hidden="false" customHeight="true" outlineLevel="0" collapsed="false">
      <c r="A73" s="42"/>
      <c r="B73" s="35" t="s">
        <v>132</v>
      </c>
      <c r="C73" s="32"/>
      <c r="D73" s="32"/>
      <c r="E73" s="32"/>
      <c r="F73" s="32"/>
      <c r="G73" s="32"/>
      <c r="H73" s="32"/>
      <c r="I73" s="32"/>
      <c r="J73" s="32"/>
      <c r="K73" s="33"/>
      <c r="L73" s="33"/>
      <c r="M73" s="33"/>
      <c r="N73" s="43" t="n">
        <v>200</v>
      </c>
      <c r="O73" s="33"/>
      <c r="P73" s="33"/>
      <c r="Q73" s="33"/>
      <c r="R73" s="34" t="n">
        <f aca="false">SUM(C73:Q73)</f>
        <v>200</v>
      </c>
    </row>
    <row r="74" customFormat="false" ht="16.5" hidden="false" customHeight="true" outlineLevel="0" collapsed="false">
      <c r="A74" s="42"/>
      <c r="B74" s="49" t="s">
        <v>133</v>
      </c>
      <c r="C74" s="28"/>
      <c r="D74" s="28"/>
      <c r="E74" s="28"/>
      <c r="F74" s="28"/>
      <c r="G74" s="28"/>
      <c r="H74" s="28"/>
      <c r="I74" s="50"/>
      <c r="J74" s="28"/>
      <c r="K74" s="29"/>
      <c r="L74" s="29"/>
      <c r="M74" s="29"/>
      <c r="N74" s="29"/>
      <c r="O74" s="29"/>
      <c r="P74" s="29"/>
      <c r="Q74" s="29"/>
      <c r="R74" s="30" t="n">
        <f aca="false">SUM(C74:Q74)</f>
        <v>0</v>
      </c>
    </row>
    <row r="75" customFormat="false" ht="16.5" hidden="false" customHeight="true" outlineLevel="0" collapsed="false">
      <c r="A75" s="42"/>
      <c r="B75" s="35" t="s">
        <v>134</v>
      </c>
      <c r="C75" s="32"/>
      <c r="D75" s="38" t="n">
        <v>200</v>
      </c>
      <c r="E75" s="32"/>
      <c r="F75" s="45"/>
      <c r="G75" s="32"/>
      <c r="H75" s="32"/>
      <c r="I75" s="32"/>
      <c r="J75" s="32"/>
      <c r="K75" s="33"/>
      <c r="L75" s="33"/>
      <c r="M75" s="33"/>
      <c r="N75" s="33"/>
      <c r="O75" s="33"/>
      <c r="P75" s="33"/>
      <c r="Q75" s="33"/>
      <c r="R75" s="34" t="n">
        <f aca="false">SUM(C75:Q75)</f>
        <v>200</v>
      </c>
    </row>
    <row r="76" customFormat="false" ht="17.25" hidden="false" customHeight="true" outlineLevel="0" collapsed="false">
      <c r="A76" s="42"/>
      <c r="B76" s="35" t="s">
        <v>135</v>
      </c>
      <c r="C76" s="32"/>
      <c r="D76" s="32"/>
      <c r="E76" s="32"/>
      <c r="F76" s="45"/>
      <c r="G76" s="32"/>
      <c r="H76" s="32"/>
      <c r="I76" s="32"/>
      <c r="J76" s="32"/>
      <c r="K76" s="33"/>
      <c r="L76" s="33"/>
      <c r="M76" s="33"/>
      <c r="N76" s="33"/>
      <c r="O76" s="33"/>
      <c r="P76" s="33"/>
      <c r="Q76" s="33"/>
      <c r="R76" s="34" t="n">
        <f aca="false">SUM(C76:Q76)</f>
        <v>0</v>
      </c>
    </row>
    <row r="77" customFormat="false" ht="16.5" hidden="false" customHeight="true" outlineLevel="0" collapsed="false">
      <c r="A77" s="42"/>
      <c r="B77" s="35" t="s">
        <v>136</v>
      </c>
      <c r="C77" s="32"/>
      <c r="D77" s="32"/>
      <c r="E77" s="32"/>
      <c r="F77" s="45"/>
      <c r="G77" s="32"/>
      <c r="H77" s="32"/>
      <c r="I77" s="32"/>
      <c r="J77" s="32"/>
      <c r="K77" s="33"/>
      <c r="L77" s="33"/>
      <c r="M77" s="33"/>
      <c r="N77" s="33"/>
      <c r="O77" s="33"/>
      <c r="P77" s="33"/>
      <c r="Q77" s="33"/>
      <c r="R77" s="34" t="n">
        <f aca="false">SUM(C77:Q77)</f>
        <v>0</v>
      </c>
    </row>
    <row r="78" customFormat="false" ht="16.5" hidden="false" customHeight="true" outlineLevel="0" collapsed="false">
      <c r="A78" s="42"/>
      <c r="B78" s="35" t="s">
        <v>137</v>
      </c>
      <c r="C78" s="32"/>
      <c r="D78" s="32"/>
      <c r="E78" s="32"/>
      <c r="F78" s="32"/>
      <c r="G78" s="32"/>
      <c r="H78" s="32"/>
      <c r="I78" s="32"/>
      <c r="J78" s="32"/>
      <c r="K78" s="33"/>
      <c r="L78" s="33"/>
      <c r="M78" s="33"/>
      <c r="N78" s="33"/>
      <c r="O78" s="33"/>
      <c r="P78" s="33"/>
      <c r="Q78" s="33"/>
      <c r="R78" s="34" t="n">
        <f aca="false">SUM(C78:Q78)</f>
        <v>0</v>
      </c>
    </row>
    <row r="79" customFormat="false" ht="17.25" hidden="false" customHeight="true" outlineLevel="0" collapsed="false">
      <c r="A79" s="42"/>
      <c r="B79" s="35" t="s">
        <v>138</v>
      </c>
      <c r="C79" s="32"/>
      <c r="D79" s="32"/>
      <c r="E79" s="32"/>
      <c r="F79" s="32"/>
      <c r="G79" s="32"/>
      <c r="H79" s="32"/>
      <c r="I79" s="32"/>
      <c r="J79" s="32"/>
      <c r="K79" s="33"/>
      <c r="L79" s="33"/>
      <c r="M79" s="33"/>
      <c r="N79" s="33"/>
      <c r="O79" s="33"/>
      <c r="P79" s="33"/>
      <c r="Q79" s="33"/>
      <c r="R79" s="34" t="n">
        <f aca="false">SUM(C79:Q79)</f>
        <v>0</v>
      </c>
    </row>
    <row r="80" customFormat="false" ht="17.25" hidden="false" customHeight="true" outlineLevel="0" collapsed="false">
      <c r="A80" s="42"/>
      <c r="B80" s="35" t="s">
        <v>139</v>
      </c>
      <c r="C80" s="32"/>
      <c r="D80" s="32"/>
      <c r="E80" s="32"/>
      <c r="F80" s="32"/>
      <c r="G80" s="32"/>
      <c r="H80" s="32"/>
      <c r="I80" s="32"/>
      <c r="J80" s="32"/>
      <c r="K80" s="33"/>
      <c r="L80" s="33"/>
      <c r="M80" s="33"/>
      <c r="N80" s="33"/>
      <c r="O80" s="33"/>
      <c r="P80" s="33"/>
      <c r="Q80" s="33"/>
      <c r="R80" s="34" t="n">
        <f aca="false">SUM(C80:Q80)</f>
        <v>0</v>
      </c>
    </row>
    <row r="81" customFormat="false" ht="17.25" hidden="false" customHeight="true" outlineLevel="0" collapsed="false">
      <c r="A81" s="42"/>
      <c r="B81" s="46" t="s">
        <v>140</v>
      </c>
      <c r="C81" s="32"/>
      <c r="D81" s="32"/>
      <c r="E81" s="32"/>
      <c r="F81" s="32"/>
      <c r="G81" s="32"/>
      <c r="H81" s="32"/>
      <c r="I81" s="32"/>
      <c r="J81" s="32"/>
      <c r="K81" s="33"/>
      <c r="L81" s="33"/>
      <c r="M81" s="33"/>
      <c r="N81" s="33"/>
      <c r="O81" s="33"/>
      <c r="P81" s="33"/>
      <c r="Q81" s="33"/>
      <c r="R81" s="34" t="n">
        <f aca="false">SUM(C81:Q81)</f>
        <v>0</v>
      </c>
    </row>
    <row r="82" customFormat="false" ht="16.5" hidden="false" customHeight="true" outlineLevel="0" collapsed="false">
      <c r="A82" s="42"/>
      <c r="B82" s="46" t="s">
        <v>141</v>
      </c>
      <c r="C82" s="32"/>
      <c r="D82" s="32"/>
      <c r="E82" s="32"/>
      <c r="F82" s="32"/>
      <c r="G82" s="32"/>
      <c r="H82" s="32"/>
      <c r="I82" s="32"/>
      <c r="J82" s="32"/>
      <c r="K82" s="33"/>
      <c r="L82" s="33"/>
      <c r="M82" s="33"/>
      <c r="N82" s="33"/>
      <c r="O82" s="33"/>
      <c r="P82" s="33"/>
      <c r="Q82" s="33"/>
      <c r="R82" s="34" t="n">
        <f aca="false">SUM(C82:Q82)</f>
        <v>0</v>
      </c>
    </row>
    <row r="83" customFormat="false" ht="17.25" hidden="false" customHeight="true" outlineLevel="0" collapsed="false">
      <c r="A83" s="42"/>
      <c r="B83" s="51" t="s">
        <v>142</v>
      </c>
      <c r="C83" s="40"/>
      <c r="D83" s="40"/>
      <c r="E83" s="40"/>
      <c r="F83" s="40"/>
      <c r="G83" s="40"/>
      <c r="H83" s="40"/>
      <c r="I83" s="40"/>
      <c r="J83" s="40"/>
      <c r="K83" s="41"/>
      <c r="L83" s="41"/>
      <c r="M83" s="41"/>
      <c r="N83" s="41"/>
      <c r="O83" s="41"/>
      <c r="P83" s="41"/>
      <c r="Q83" s="41"/>
      <c r="R83" s="20" t="n">
        <f aca="false">SUM(C83:Q83)</f>
        <v>0</v>
      </c>
    </row>
    <row r="84" customFormat="false" ht="16.5" hidden="false" customHeight="true" outlineLevel="0" collapsed="false">
      <c r="A84" s="42" t="s">
        <v>143</v>
      </c>
      <c r="B84" s="35" t="s">
        <v>144</v>
      </c>
      <c r="C84" s="32"/>
      <c r="D84" s="32"/>
      <c r="E84" s="32"/>
      <c r="F84" s="32"/>
      <c r="G84" s="32"/>
      <c r="H84" s="32"/>
      <c r="I84" s="32"/>
      <c r="J84" s="32"/>
      <c r="K84" s="33"/>
      <c r="L84" s="38" t="n">
        <v>1000</v>
      </c>
      <c r="M84" s="33"/>
      <c r="N84" s="43" t="n">
        <v>2020</v>
      </c>
      <c r="O84" s="33"/>
      <c r="P84" s="33"/>
      <c r="Q84" s="33"/>
      <c r="R84" s="34" t="n">
        <f aca="false">SUM(C84:Q84)</f>
        <v>3020</v>
      </c>
    </row>
    <row r="85" customFormat="false" ht="17.25" hidden="false" customHeight="true" outlineLevel="0" collapsed="false">
      <c r="A85" s="42"/>
      <c r="B85" s="35" t="s">
        <v>145</v>
      </c>
      <c r="C85" s="32"/>
      <c r="D85" s="32"/>
      <c r="E85" s="32"/>
      <c r="F85" s="32"/>
      <c r="G85" s="32"/>
      <c r="H85" s="32"/>
      <c r="I85" s="32"/>
      <c r="J85" s="38" t="n">
        <v>500</v>
      </c>
      <c r="K85" s="33"/>
      <c r="L85" s="33"/>
      <c r="M85" s="33"/>
      <c r="N85" s="33"/>
      <c r="O85" s="33"/>
      <c r="P85" s="33"/>
      <c r="Q85" s="33"/>
      <c r="R85" s="34" t="n">
        <f aca="false">SUM(C85:Q85)</f>
        <v>500</v>
      </c>
    </row>
    <row r="86" customFormat="false" ht="16.5" hidden="false" customHeight="true" outlineLevel="0" collapsed="false">
      <c r="A86" s="42"/>
      <c r="B86" s="35" t="s">
        <v>146</v>
      </c>
      <c r="C86" s="32"/>
      <c r="D86" s="32"/>
      <c r="E86" s="32"/>
      <c r="F86" s="32"/>
      <c r="G86" s="32"/>
      <c r="H86" s="32"/>
      <c r="I86" s="32"/>
      <c r="J86" s="38" t="n">
        <v>10000</v>
      </c>
      <c r="K86" s="33"/>
      <c r="L86" s="33"/>
      <c r="M86" s="33"/>
      <c r="N86" s="43" t="n">
        <v>3000</v>
      </c>
      <c r="O86" s="33"/>
      <c r="P86" s="33"/>
      <c r="Q86" s="33"/>
      <c r="R86" s="34" t="n">
        <f aca="false">SUM(C86:Q86)</f>
        <v>13000</v>
      </c>
    </row>
    <row r="87" customFormat="false" ht="16.5" hidden="false" customHeight="true" outlineLevel="0" collapsed="false">
      <c r="A87" s="42"/>
      <c r="B87" s="46" t="s">
        <v>147</v>
      </c>
      <c r="C87" s="32"/>
      <c r="D87" s="32"/>
      <c r="E87" s="32"/>
      <c r="F87" s="32"/>
      <c r="G87" s="32"/>
      <c r="H87" s="32"/>
      <c r="I87" s="32"/>
      <c r="J87" s="32"/>
      <c r="K87" s="33"/>
      <c r="L87" s="33"/>
      <c r="M87" s="33"/>
      <c r="N87" s="33"/>
      <c r="O87" s="33"/>
      <c r="P87" s="33"/>
      <c r="Q87" s="33"/>
      <c r="R87" s="34" t="n">
        <f aca="false">SUM(C87:Q87)</f>
        <v>0</v>
      </c>
    </row>
    <row r="88" customFormat="false" ht="17.25" hidden="false" customHeight="true" outlineLevel="0" collapsed="false">
      <c r="A88" s="42"/>
      <c r="B88" s="35" t="s">
        <v>148</v>
      </c>
      <c r="C88" s="32"/>
      <c r="D88" s="32"/>
      <c r="E88" s="32"/>
      <c r="F88" s="32"/>
      <c r="G88" s="32"/>
      <c r="H88" s="32"/>
      <c r="I88" s="32"/>
      <c r="J88" s="38" t="n">
        <v>2000</v>
      </c>
      <c r="K88" s="33"/>
      <c r="L88" s="38" t="n">
        <v>1000</v>
      </c>
      <c r="M88" s="33"/>
      <c r="N88" s="33"/>
      <c r="O88" s="33"/>
      <c r="P88" s="33"/>
      <c r="Q88" s="33"/>
      <c r="R88" s="34" t="n">
        <f aca="false">SUM(C88:Q88)</f>
        <v>3000</v>
      </c>
    </row>
    <row r="89" customFormat="false" ht="17.25" hidden="false" customHeight="true" outlineLevel="0" collapsed="false">
      <c r="A89" s="42"/>
      <c r="B89" s="39" t="s">
        <v>149</v>
      </c>
      <c r="C89" s="40"/>
      <c r="D89" s="40"/>
      <c r="E89" s="40"/>
      <c r="F89" s="40"/>
      <c r="G89" s="40"/>
      <c r="H89" s="40"/>
      <c r="I89" s="40"/>
      <c r="J89" s="40"/>
      <c r="K89" s="41"/>
      <c r="L89" s="41"/>
      <c r="M89" s="41"/>
      <c r="N89" s="17" t="n">
        <v>10</v>
      </c>
      <c r="O89" s="41"/>
      <c r="P89" s="41"/>
      <c r="Q89" s="41"/>
      <c r="R89" s="20" t="n">
        <f aca="false">MIN(SUM(C89:Q89),80)</f>
        <v>10</v>
      </c>
    </row>
    <row r="90" customFormat="false" ht="17.25" hidden="false" customHeight="false" outlineLevel="0" collapsed="false">
      <c r="A90" s="42" t="s">
        <v>150</v>
      </c>
      <c r="B90" s="35" t="s">
        <v>151</v>
      </c>
      <c r="C90" s="32"/>
      <c r="D90" s="38" t="n">
        <v>30</v>
      </c>
      <c r="E90" s="32"/>
      <c r="F90" s="32"/>
      <c r="G90" s="32"/>
      <c r="H90" s="32"/>
      <c r="I90" s="32"/>
      <c r="J90" s="38" t="n">
        <v>20</v>
      </c>
      <c r="K90" s="33"/>
      <c r="L90" s="33"/>
      <c r="M90" s="33"/>
      <c r="N90" s="33"/>
      <c r="O90" s="33"/>
      <c r="P90" s="33"/>
      <c r="Q90" s="33"/>
      <c r="R90" s="34" t="n">
        <f aca="false">SUM(C90:Q90)</f>
        <v>50</v>
      </c>
    </row>
    <row r="91" customFormat="false" ht="17.25" hidden="false" customHeight="false" outlineLevel="0" collapsed="false">
      <c r="A91" s="42"/>
      <c r="B91" s="35" t="s">
        <v>152</v>
      </c>
      <c r="C91" s="32"/>
      <c r="D91" s="32"/>
      <c r="E91" s="32"/>
      <c r="F91" s="32"/>
      <c r="G91" s="32"/>
      <c r="H91" s="32"/>
      <c r="I91" s="32"/>
      <c r="J91" s="32"/>
      <c r="K91" s="33"/>
      <c r="L91" s="33"/>
      <c r="M91" s="33"/>
      <c r="N91" s="43" t="n">
        <v>60</v>
      </c>
      <c r="O91" s="33"/>
      <c r="P91" s="33"/>
      <c r="Q91" s="33"/>
      <c r="R91" s="34" t="n">
        <f aca="false">SUM(C91:Q91)</f>
        <v>60</v>
      </c>
    </row>
    <row r="92" customFormat="false" ht="17.25" hidden="false" customHeight="false" outlineLevel="0" collapsed="false">
      <c r="A92" s="42"/>
      <c r="B92" s="51" t="s">
        <v>153</v>
      </c>
      <c r="C92" s="40"/>
      <c r="D92" s="40"/>
      <c r="E92" s="40"/>
      <c r="F92" s="40"/>
      <c r="G92" s="40"/>
      <c r="H92" s="40"/>
      <c r="I92" s="40"/>
      <c r="J92" s="13" t="n">
        <v>300</v>
      </c>
      <c r="K92" s="41"/>
      <c r="L92" s="41"/>
      <c r="M92" s="41"/>
      <c r="N92" s="41"/>
      <c r="O92" s="41"/>
      <c r="P92" s="41"/>
      <c r="Q92" s="41"/>
      <c r="R92" s="20" t="n">
        <f aca="false">SUM(C92:Q92)</f>
        <v>300</v>
      </c>
    </row>
    <row r="93" customFormat="false" ht="17.25" hidden="false" customHeight="false" outlineLevel="0" collapsed="false">
      <c r="A93" s="42" t="s">
        <v>154</v>
      </c>
      <c r="B93" s="39" t="s">
        <v>155</v>
      </c>
      <c r="C93" s="40"/>
      <c r="D93" s="40"/>
      <c r="E93" s="40"/>
      <c r="F93" s="40"/>
      <c r="G93" s="40"/>
      <c r="H93" s="40"/>
      <c r="I93" s="40"/>
      <c r="J93" s="40"/>
      <c r="K93" s="41"/>
      <c r="L93" s="41"/>
      <c r="M93" s="41"/>
      <c r="N93" s="41"/>
      <c r="O93" s="41"/>
      <c r="P93" s="41"/>
      <c r="Q93" s="41"/>
      <c r="R93" s="20" t="n">
        <f aca="false">SUM(C93:Q93)</f>
        <v>0</v>
      </c>
    </row>
    <row r="94" customFormat="false" ht="17.25" hidden="false" customHeight="false" outlineLevel="0" collapsed="false">
      <c r="A94" s="42" t="s">
        <v>156</v>
      </c>
      <c r="B94" s="39" t="s">
        <v>156</v>
      </c>
      <c r="C94" s="40"/>
      <c r="D94" s="40"/>
      <c r="E94" s="40"/>
      <c r="F94" s="40"/>
      <c r="G94" s="40"/>
      <c r="H94" s="40"/>
      <c r="I94" s="40"/>
      <c r="J94" s="40"/>
      <c r="K94" s="41"/>
      <c r="L94" s="41"/>
      <c r="M94" s="41"/>
      <c r="N94" s="41"/>
      <c r="O94" s="41"/>
      <c r="P94" s="41"/>
      <c r="Q94" s="41"/>
      <c r="R94" s="20" t="n">
        <f aca="false">SUM(C94:Q94)</f>
        <v>0</v>
      </c>
    </row>
    <row r="95" customFormat="false" ht="17.25" hidden="false" customHeight="false" outlineLevel="0" collapsed="false">
      <c r="A95" s="42" t="s">
        <v>157</v>
      </c>
      <c r="B95" s="35" t="s">
        <v>158</v>
      </c>
      <c r="C95" s="32"/>
      <c r="D95" s="32"/>
      <c r="E95" s="32"/>
      <c r="F95" s="32"/>
      <c r="G95" s="32"/>
      <c r="H95" s="32"/>
      <c r="I95" s="32"/>
      <c r="J95" s="32"/>
      <c r="K95" s="33"/>
      <c r="L95" s="33"/>
      <c r="M95" s="33"/>
      <c r="N95" s="33"/>
      <c r="O95" s="33"/>
      <c r="P95" s="33"/>
      <c r="Q95" s="33"/>
      <c r="R95" s="34" t="n">
        <f aca="false">SUM(C95:Q95)</f>
        <v>0</v>
      </c>
    </row>
    <row r="96" customFormat="false" ht="17.25" hidden="false" customHeight="false" outlineLevel="0" collapsed="false">
      <c r="A96" s="42"/>
      <c r="B96" s="39" t="s">
        <v>159</v>
      </c>
      <c r="C96" s="40"/>
      <c r="D96" s="40"/>
      <c r="E96" s="40"/>
      <c r="F96" s="40"/>
      <c r="G96" s="40"/>
      <c r="H96" s="40"/>
      <c r="I96" s="40"/>
      <c r="J96" s="40"/>
      <c r="K96" s="41"/>
      <c r="L96" s="41"/>
      <c r="M96" s="41"/>
      <c r="N96" s="41"/>
      <c r="O96" s="41"/>
      <c r="P96" s="41"/>
      <c r="Q96" s="41"/>
      <c r="R96" s="20" t="n">
        <f aca="false">SUM(C96:Q96)</f>
        <v>0</v>
      </c>
    </row>
    <row r="97" customFormat="false" ht="17.25" hidden="false" customHeight="false" outlineLevel="0" collapsed="false">
      <c r="A97" s="42" t="s">
        <v>160</v>
      </c>
      <c r="B97" s="35" t="s">
        <v>161</v>
      </c>
      <c r="C97" s="32"/>
      <c r="D97" s="32"/>
      <c r="E97" s="32"/>
      <c r="F97" s="32"/>
      <c r="G97" s="32"/>
      <c r="H97" s="32"/>
      <c r="I97" s="32"/>
      <c r="J97" s="32"/>
      <c r="K97" s="33"/>
      <c r="L97" s="33"/>
      <c r="M97" s="33"/>
      <c r="N97" s="33"/>
      <c r="O97" s="33"/>
      <c r="P97" s="33"/>
      <c r="Q97" s="33"/>
      <c r="R97" s="34" t="n">
        <f aca="false">SUM(C97:Q97)</f>
        <v>0</v>
      </c>
    </row>
    <row r="98" customFormat="false" ht="17.25" hidden="false" customHeight="false" outlineLevel="0" collapsed="false">
      <c r="A98" s="42"/>
      <c r="B98" s="39" t="s">
        <v>162</v>
      </c>
      <c r="C98" s="40"/>
      <c r="D98" s="40"/>
      <c r="E98" s="40"/>
      <c r="F98" s="40"/>
      <c r="G98" s="40"/>
      <c r="H98" s="40"/>
      <c r="I98" s="40"/>
      <c r="J98" s="13" t="n">
        <v>50</v>
      </c>
      <c r="K98" s="41"/>
      <c r="L98" s="41"/>
      <c r="M98" s="41"/>
      <c r="N98" s="41"/>
      <c r="O98" s="41"/>
      <c r="P98" s="41"/>
      <c r="Q98" s="41"/>
      <c r="R98" s="20" t="n">
        <f aca="false">SUM(C98:Q98)</f>
        <v>50</v>
      </c>
    </row>
    <row r="99" customFormat="false" ht="17.25" hidden="false" customHeight="false" outlineLevel="0" collapsed="false">
      <c r="A99" s="42" t="s">
        <v>163</v>
      </c>
      <c r="B99" s="35" t="s">
        <v>164</v>
      </c>
      <c r="C99" s="45"/>
      <c r="D99" s="45"/>
      <c r="E99" s="45"/>
      <c r="F99" s="45"/>
      <c r="G99" s="45"/>
      <c r="H99" s="45"/>
      <c r="I99" s="45"/>
      <c r="J99" s="32"/>
      <c r="K99" s="33"/>
      <c r="L99" s="33"/>
      <c r="M99" s="44" t="n">
        <v>5000</v>
      </c>
      <c r="N99" s="33"/>
      <c r="O99" s="33"/>
      <c r="P99" s="33"/>
      <c r="Q99" s="33"/>
      <c r="R99" s="34" t="n">
        <f aca="false">SUM(C99:Q99)</f>
        <v>5000</v>
      </c>
    </row>
    <row r="100" customFormat="false" ht="17.25" hidden="false" customHeight="false" outlineLevel="0" collapsed="false">
      <c r="A100" s="42"/>
      <c r="B100" s="35" t="s">
        <v>165</v>
      </c>
      <c r="C100" s="45"/>
      <c r="D100" s="45"/>
      <c r="E100" s="45"/>
      <c r="F100" s="45"/>
      <c r="G100" s="45"/>
      <c r="H100" s="45"/>
      <c r="I100" s="45"/>
      <c r="J100" s="32"/>
      <c r="K100" s="33"/>
      <c r="L100" s="33"/>
      <c r="M100" s="44" t="n">
        <v>25</v>
      </c>
      <c r="N100" s="33"/>
      <c r="O100" s="33"/>
      <c r="P100" s="33"/>
      <c r="Q100" s="33"/>
      <c r="R100" s="34" t="n">
        <f aca="false">SUM(C100:Q100)</f>
        <v>25</v>
      </c>
    </row>
    <row r="101" customFormat="false" ht="17.25" hidden="false" customHeight="false" outlineLevel="0" collapsed="false">
      <c r="A101" s="42"/>
      <c r="B101" s="35" t="s">
        <v>166</v>
      </c>
      <c r="C101" s="32"/>
      <c r="D101" s="32"/>
      <c r="E101" s="32"/>
      <c r="F101" s="32"/>
      <c r="G101" s="32"/>
      <c r="H101" s="32"/>
      <c r="I101" s="45"/>
      <c r="J101" s="32"/>
      <c r="K101" s="33"/>
      <c r="L101" s="33"/>
      <c r="M101" s="44" t="n">
        <v>5</v>
      </c>
      <c r="N101" s="33"/>
      <c r="O101" s="33"/>
      <c r="P101" s="33"/>
      <c r="Q101" s="33"/>
      <c r="R101" s="34" t="n">
        <f aca="false">SUM(C101:Q101)</f>
        <v>5</v>
      </c>
    </row>
    <row r="102" customFormat="false" ht="17.25" hidden="false" customHeight="false" outlineLevel="0" collapsed="false">
      <c r="A102" s="42"/>
      <c r="B102" s="35" t="s">
        <v>167</v>
      </c>
      <c r="C102" s="32"/>
      <c r="D102" s="32"/>
      <c r="E102" s="32"/>
      <c r="F102" s="32"/>
      <c r="G102" s="32"/>
      <c r="H102" s="32"/>
      <c r="I102" s="45"/>
      <c r="J102" s="32"/>
      <c r="K102" s="33"/>
      <c r="L102" s="33"/>
      <c r="M102" s="52" t="s">
        <v>168</v>
      </c>
      <c r="N102" s="33"/>
      <c r="O102" s="33"/>
      <c r="P102" s="33"/>
      <c r="Q102" s="33"/>
      <c r="R102" s="48" t="s">
        <v>168</v>
      </c>
    </row>
    <row r="103" customFormat="false" ht="17.25" hidden="false" customHeight="false" outlineLevel="0" collapsed="false">
      <c r="A103" s="42"/>
      <c r="B103" s="39" t="s">
        <v>169</v>
      </c>
      <c r="C103" s="40"/>
      <c r="D103" s="40"/>
      <c r="E103" s="40"/>
      <c r="F103" s="40"/>
      <c r="G103" s="40"/>
      <c r="H103" s="40"/>
      <c r="I103" s="53"/>
      <c r="J103" s="40"/>
      <c r="K103" s="41"/>
      <c r="L103" s="41"/>
      <c r="M103" s="41"/>
      <c r="N103" s="41"/>
      <c r="O103" s="41"/>
      <c r="P103" s="41"/>
      <c r="Q103" s="41"/>
      <c r="R103" s="20" t="n">
        <f aca="false">SUM(C103:Q103)</f>
        <v>0</v>
      </c>
    </row>
    <row r="104" customFormat="false" ht="17.25" hidden="false" customHeight="false" outlineLevel="0" collapsed="false">
      <c r="A104" s="42" t="s">
        <v>170</v>
      </c>
      <c r="B104" s="39" t="s">
        <v>171</v>
      </c>
      <c r="C104" s="53"/>
      <c r="D104" s="53"/>
      <c r="E104" s="53"/>
      <c r="F104" s="53"/>
      <c r="G104" s="53"/>
      <c r="H104" s="53"/>
      <c r="I104" s="53"/>
      <c r="J104" s="40"/>
      <c r="K104" s="41"/>
      <c r="L104" s="41"/>
      <c r="M104" s="41"/>
      <c r="N104" s="41"/>
      <c r="O104" s="16" t="n">
        <v>10000</v>
      </c>
      <c r="P104" s="41"/>
      <c r="Q104" s="41"/>
      <c r="R104" s="20" t="n">
        <f aca="false">SUM(C104:Q104)</f>
        <v>10000</v>
      </c>
    </row>
  </sheetData>
  <mergeCells count="17">
    <mergeCell ref="A1:B1"/>
    <mergeCell ref="A2:B2"/>
    <mergeCell ref="A3:B3"/>
    <mergeCell ref="A4:B4"/>
    <mergeCell ref="A5:B5"/>
    <mergeCell ref="A6:A10"/>
    <mergeCell ref="A11:A14"/>
    <mergeCell ref="A15:A29"/>
    <mergeCell ref="A30:A38"/>
    <mergeCell ref="A39:A51"/>
    <mergeCell ref="A52:A64"/>
    <mergeCell ref="A65:A83"/>
    <mergeCell ref="A84:A89"/>
    <mergeCell ref="A90:A92"/>
    <mergeCell ref="A95:A96"/>
    <mergeCell ref="A97:A98"/>
    <mergeCell ref="A99:A10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8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" defaultRowHeight="17.2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10"/>
  </cols>
  <sheetData>
    <row r="1" customFormat="false" ht="19.5" hidden="false" customHeight="true" outlineLevel="0" collapsed="false">
      <c r="A1" s="54" t="s">
        <v>172</v>
      </c>
    </row>
    <row r="3" customFormat="false" ht="16.5" hidden="false" customHeight="true" outlineLevel="0" collapsed="false">
      <c r="A3" s="55" t="s">
        <v>173</v>
      </c>
      <c r="B3" s="56" t="s">
        <v>174</v>
      </c>
    </row>
    <row r="4" customFormat="false" ht="16.5" hidden="false" customHeight="true" outlineLevel="0" collapsed="false">
      <c r="A4" s="55" t="s">
        <v>175</v>
      </c>
      <c r="B4" s="56" t="s">
        <v>176</v>
      </c>
    </row>
    <row r="5" customFormat="false" ht="16.5" hidden="false" customHeight="true" outlineLevel="0" collapsed="false">
      <c r="A5" s="55" t="s">
        <v>177</v>
      </c>
      <c r="B5" s="56" t="s">
        <v>178</v>
      </c>
    </row>
    <row r="6" customFormat="false" ht="16.5" hidden="false" customHeight="true" outlineLevel="0" collapsed="false">
      <c r="A6" s="55" t="s">
        <v>179</v>
      </c>
      <c r="B6" s="56" t="s">
        <v>180</v>
      </c>
    </row>
    <row r="7" customFormat="false" ht="16.5" hidden="false" customHeight="true" outlineLevel="0" collapsed="false">
      <c r="A7" s="55" t="s">
        <v>181</v>
      </c>
      <c r="B7" s="56" t="s">
        <v>182</v>
      </c>
    </row>
    <row r="8" customFormat="false" ht="16.5" hidden="false" customHeight="true" outlineLevel="0" collapsed="false">
      <c r="A8" s="55" t="s">
        <v>183</v>
      </c>
      <c r="B8" s="57" t="s">
        <v>184</v>
      </c>
    </row>
    <row r="9" customFormat="false" ht="16.5" hidden="false" customHeight="true" outlineLevel="0" collapsed="false">
      <c r="A9" s="55" t="s">
        <v>185</v>
      </c>
      <c r="B9" s="56" t="s">
        <v>186</v>
      </c>
    </row>
    <row r="10" customFormat="false" ht="16.5" hidden="false" customHeight="true" outlineLevel="0" collapsed="false">
      <c r="A10" s="55" t="s">
        <v>187</v>
      </c>
      <c r="B10" s="56" t="s">
        <v>188</v>
      </c>
    </row>
    <row r="11" customFormat="false" ht="16.5" hidden="false" customHeight="true" outlineLevel="0" collapsed="false">
      <c r="A11" s="55" t="s">
        <v>189</v>
      </c>
      <c r="B11" s="56" t="s">
        <v>190</v>
      </c>
    </row>
    <row r="12" customFormat="false" ht="16.5" hidden="false" customHeight="true" outlineLevel="0" collapsed="false">
      <c r="A12" s="55" t="s">
        <v>191</v>
      </c>
      <c r="B12" s="57" t="s">
        <v>192</v>
      </c>
    </row>
    <row r="13" customFormat="false" ht="16.5" hidden="false" customHeight="true" outlineLevel="0" collapsed="false">
      <c r="A13" s="55" t="s">
        <v>193</v>
      </c>
      <c r="B13" s="56" t="s">
        <v>194</v>
      </c>
    </row>
    <row r="14" customFormat="false" ht="16.5" hidden="false" customHeight="true" outlineLevel="0" collapsed="false">
      <c r="A14" s="55" t="s">
        <v>195</v>
      </c>
      <c r="B14" s="56" t="s">
        <v>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34"/>
    <col collapsed="false" customWidth="true" hidden="false" outlineLevel="0" max="4" min="4" style="1" width="40"/>
    <col collapsed="false" customWidth="true" hidden="false" outlineLevel="0" max="5" min="5" style="1" width="12"/>
  </cols>
  <sheetData>
    <row r="1" customFormat="false" ht="17.15" hidden="false" customHeight="false" outlineLevel="0" collapsed="false">
      <c r="A1" s="58" t="s">
        <v>197</v>
      </c>
    </row>
    <row r="2" customFormat="false" ht="20.1" hidden="false" customHeight="false" outlineLevel="0" collapsed="false">
      <c r="A2" s="59" t="s">
        <v>198</v>
      </c>
    </row>
    <row r="3" customFormat="false" ht="15" hidden="false" customHeight="false" outlineLevel="0" collapsed="false">
      <c r="A3" s="58" t="s">
        <v>199</v>
      </c>
      <c r="B3" s="1" t="n">
        <v>15</v>
      </c>
    </row>
    <row r="4" customFormat="false" ht="17.15" hidden="false" customHeight="false" outlineLevel="0" collapsed="false">
      <c r="A4" s="58" t="s">
        <v>200</v>
      </c>
      <c r="B4" s="1" t="s">
        <v>201</v>
      </c>
    </row>
    <row r="5" customFormat="false" ht="19.4" hidden="false" customHeight="false" outlineLevel="0" collapsed="false">
      <c r="A5" s="60" t="s">
        <v>202</v>
      </c>
    </row>
    <row r="6" customFormat="false" ht="17.15" hidden="false" customHeight="false" outlineLevel="0" collapsed="false">
      <c r="A6" s="0" t="s">
        <v>203</v>
      </c>
    </row>
    <row r="7" customFormat="false" ht="17.15" hidden="false" customHeight="false" outlineLevel="0" collapsed="false">
      <c r="A7" s="58" t="s">
        <v>204</v>
      </c>
      <c r="B7" s="61" t="s">
        <v>205</v>
      </c>
      <c r="C7" s="58" t="s">
        <v>206</v>
      </c>
      <c r="D7" s="61" t="s">
        <v>207</v>
      </c>
      <c r="E7" s="61" t="s">
        <v>208</v>
      </c>
    </row>
    <row r="8" customFormat="false" ht="17.15" hidden="false" customHeight="false" outlineLevel="0" collapsed="false">
      <c r="A8" s="58" t="s">
        <v>209</v>
      </c>
      <c r="B8" s="1" t="s">
        <v>210</v>
      </c>
      <c r="C8" s="0" t="n">
        <v>430</v>
      </c>
      <c r="D8" s="61" t="s">
        <v>211</v>
      </c>
      <c r="E8" s="1" t="s">
        <v>212</v>
      </c>
    </row>
    <row r="9" customFormat="false" ht="17.15" hidden="false" customHeight="false" outlineLevel="0" collapsed="false">
      <c r="A9" s="58" t="s">
        <v>209</v>
      </c>
      <c r="B9" s="1" t="s">
        <v>213</v>
      </c>
      <c r="C9" s="0" t="n">
        <v>0</v>
      </c>
      <c r="D9" s="61" t="s">
        <v>214</v>
      </c>
      <c r="E9" s="1" t="s">
        <v>215</v>
      </c>
    </row>
    <row r="10" customFormat="false" ht="17.15" hidden="false" customHeight="false" outlineLevel="0" collapsed="false">
      <c r="A10" s="58" t="s">
        <v>209</v>
      </c>
      <c r="B10" s="61" t="s">
        <v>216</v>
      </c>
      <c r="C10" s="0" t="n">
        <v>5000</v>
      </c>
      <c r="D10" s="1" t="s">
        <v>217</v>
      </c>
      <c r="E10" s="1" t="s">
        <v>218</v>
      </c>
    </row>
    <row r="11" customFormat="false" ht="17.15" hidden="false" customHeight="false" outlineLevel="0" collapsed="false">
      <c r="A11" s="58" t="s">
        <v>209</v>
      </c>
      <c r="B11" s="61" t="s">
        <v>219</v>
      </c>
      <c r="C11" s="0" t="n">
        <v>31000</v>
      </c>
      <c r="E11" s="1" t="s">
        <v>220</v>
      </c>
    </row>
    <row r="12" customFormat="false" ht="17.15" hidden="false" customHeight="false" outlineLevel="0" collapsed="false">
      <c r="A12" s="58" t="s">
        <v>209</v>
      </c>
      <c r="B12" s="61" t="s">
        <v>221</v>
      </c>
      <c r="C12" s="0" t="n">
        <v>5000</v>
      </c>
      <c r="E12" s="1" t="s">
        <v>222</v>
      </c>
    </row>
    <row r="13" customFormat="false" ht="15" hidden="false" customHeight="false" outlineLevel="0" collapsed="false">
      <c r="A13" s="58" t="s">
        <v>209</v>
      </c>
      <c r="B13" s="61" t="s">
        <v>223</v>
      </c>
      <c r="C13" s="0" t="n">
        <v>3500</v>
      </c>
      <c r="E13" s="1" t="s">
        <v>224</v>
      </c>
    </row>
    <row r="14" customFormat="false" ht="17.15" hidden="false" customHeight="false" outlineLevel="0" collapsed="false">
      <c r="A14" s="58" t="s">
        <v>209</v>
      </c>
      <c r="B14" s="61" t="s">
        <v>225</v>
      </c>
      <c r="C14" s="0" t="n">
        <v>8000</v>
      </c>
      <c r="E14" s="1" t="s">
        <v>226</v>
      </c>
    </row>
    <row r="15" customFormat="false" ht="15" hidden="false" customHeight="false" outlineLevel="0" collapsed="false">
      <c r="A15" s="58" t="s">
        <v>209</v>
      </c>
      <c r="B15" s="61" t="s">
        <v>227</v>
      </c>
      <c r="C15" s="0" t="n">
        <v>2600</v>
      </c>
      <c r="E15" s="1" t="s">
        <v>228</v>
      </c>
    </row>
    <row r="16" customFormat="false" ht="17.15" hidden="false" customHeight="false" outlineLevel="0" collapsed="false">
      <c r="A16" s="58" t="s">
        <v>209</v>
      </c>
      <c r="B16" s="61" t="s">
        <v>229</v>
      </c>
      <c r="C16" s="0" t="n">
        <v>430</v>
      </c>
      <c r="E16" s="1" t="s">
        <v>230</v>
      </c>
    </row>
    <row r="17" customFormat="false" ht="15" hidden="false" customHeight="false" outlineLevel="0" collapsed="false">
      <c r="A17" s="58" t="s">
        <v>209</v>
      </c>
      <c r="B17" s="61" t="s">
        <v>231</v>
      </c>
      <c r="C17" s="0" t="n">
        <v>400</v>
      </c>
      <c r="E17" s="1" t="s">
        <v>232</v>
      </c>
    </row>
    <row r="18" customFormat="false" ht="15" hidden="false" customHeight="false" outlineLevel="0" collapsed="false">
      <c r="A18" s="58" t="s">
        <v>209</v>
      </c>
      <c r="B18" s="61" t="s">
        <v>233</v>
      </c>
      <c r="C18" s="0" t="n">
        <v>10</v>
      </c>
      <c r="E18" s="1" t="s">
        <v>234</v>
      </c>
    </row>
    <row r="19" customFormat="false" ht="15" hidden="false" customHeight="false" outlineLevel="0" collapsed="false">
      <c r="A19" s="58" t="s">
        <v>209</v>
      </c>
      <c r="B19" s="61" t="s">
        <v>235</v>
      </c>
      <c r="C19" s="0" t="n">
        <v>10</v>
      </c>
      <c r="E19" s="1" t="s">
        <v>236</v>
      </c>
    </row>
    <row r="20" customFormat="false" ht="15" hidden="false" customHeight="false" outlineLevel="0" collapsed="false">
      <c r="A20" s="58" t="s">
        <v>209</v>
      </c>
      <c r="B20" s="61" t="s">
        <v>237</v>
      </c>
      <c r="C20" s="0" t="n">
        <v>200</v>
      </c>
      <c r="E20" s="1" t="s">
        <v>238</v>
      </c>
    </row>
    <row r="21" customFormat="false" ht="17.15" hidden="false" customHeight="false" outlineLevel="0" collapsed="false">
      <c r="A21" s="58" t="s">
        <v>239</v>
      </c>
      <c r="B21" s="61" t="s">
        <v>240</v>
      </c>
      <c r="C21" s="0" t="n">
        <v>140000</v>
      </c>
      <c r="E21" s="1" t="s">
        <v>241</v>
      </c>
    </row>
    <row r="22" customFormat="false" ht="15" hidden="false" customHeight="false" outlineLevel="0" collapsed="false">
      <c r="A22" s="58" t="s">
        <v>239</v>
      </c>
      <c r="B22" s="61" t="s">
        <v>242</v>
      </c>
      <c r="C22" s="0" t="n">
        <v>2</v>
      </c>
      <c r="E22" s="1" t="s">
        <v>243</v>
      </c>
    </row>
    <row r="23" customFormat="false" ht="17.15" hidden="false" customHeight="false" outlineLevel="0" collapsed="false">
      <c r="A23" s="0" t="s">
        <v>244</v>
      </c>
      <c r="B23" s="61" t="s">
        <v>245</v>
      </c>
      <c r="C23" s="0" t="n">
        <v>234</v>
      </c>
      <c r="E23" s="1" t="s">
        <v>246</v>
      </c>
    </row>
    <row r="24" customFormat="false" ht="17.15" hidden="false" customHeight="false" outlineLevel="0" collapsed="false">
      <c r="A24" s="0" t="s">
        <v>244</v>
      </c>
      <c r="B24" s="61" t="s">
        <v>247</v>
      </c>
      <c r="C24" s="0" t="n">
        <v>234</v>
      </c>
      <c r="E24" s="1" t="s">
        <v>248</v>
      </c>
    </row>
    <row r="25" customFormat="false" ht="17.15" hidden="false" customHeight="false" outlineLevel="0" collapsed="false">
      <c r="A25" s="58" t="s">
        <v>249</v>
      </c>
      <c r="B25" s="61" t="s">
        <v>250</v>
      </c>
      <c r="C25" s="0" t="n">
        <v>3000</v>
      </c>
      <c r="E25" s="1" t="s">
        <v>251</v>
      </c>
    </row>
    <row r="26" customFormat="false" ht="17.15" hidden="false" customHeight="false" outlineLevel="0" collapsed="false">
      <c r="A26" s="58" t="s">
        <v>249</v>
      </c>
      <c r="B26" s="61" t="s">
        <v>252</v>
      </c>
      <c r="C26" s="0" t="n">
        <v>600</v>
      </c>
      <c r="E26" s="1" t="s">
        <v>253</v>
      </c>
    </row>
    <row r="27" customFormat="false" ht="17.15" hidden="false" customHeight="false" outlineLevel="0" collapsed="false">
      <c r="A27" s="58" t="s">
        <v>249</v>
      </c>
      <c r="B27" s="61" t="s">
        <v>254</v>
      </c>
      <c r="C27" s="0" t="n">
        <v>500</v>
      </c>
      <c r="E27" s="1" t="s">
        <v>255</v>
      </c>
    </row>
    <row r="28" customFormat="false" ht="17.15" hidden="false" customHeight="false" outlineLevel="0" collapsed="false">
      <c r="A28" s="58" t="s">
        <v>249</v>
      </c>
      <c r="B28" s="61" t="s">
        <v>256</v>
      </c>
      <c r="C28" s="0" t="n">
        <v>1000</v>
      </c>
      <c r="E28" s="1" t="s">
        <v>257</v>
      </c>
    </row>
    <row r="29" customFormat="false" ht="15" hidden="false" customHeight="false" outlineLevel="0" collapsed="false">
      <c r="A29" s="58" t="s">
        <v>249</v>
      </c>
      <c r="B29" s="61" t="s">
        <v>258</v>
      </c>
      <c r="C29" s="0" t="n">
        <v>100</v>
      </c>
      <c r="E29" s="1" t="s">
        <v>259</v>
      </c>
    </row>
    <row r="30" customFormat="false" ht="15" hidden="false" customHeight="false" outlineLevel="0" collapsed="false">
      <c r="A30" s="58" t="s">
        <v>249</v>
      </c>
      <c r="B30" s="61" t="s">
        <v>260</v>
      </c>
      <c r="C30" s="0" t="n">
        <v>30</v>
      </c>
      <c r="E30" s="1" t="s">
        <v>261</v>
      </c>
    </row>
    <row r="31" customFormat="false" ht="17.15" hidden="false" customHeight="false" outlineLevel="0" collapsed="false">
      <c r="A31" s="58" t="s">
        <v>249</v>
      </c>
      <c r="B31" s="61" t="s">
        <v>262</v>
      </c>
      <c r="C31" s="0" t="n">
        <v>30</v>
      </c>
      <c r="E31" s="1" t="s">
        <v>263</v>
      </c>
    </row>
    <row r="32" customFormat="false" ht="15" hidden="false" customHeight="false" outlineLevel="0" collapsed="false">
      <c r="A32" s="58" t="s">
        <v>249</v>
      </c>
      <c r="B32" s="61" t="s">
        <v>264</v>
      </c>
      <c r="C32" s="0" t="n">
        <v>50</v>
      </c>
      <c r="E32" s="1" t="s">
        <v>265</v>
      </c>
    </row>
    <row r="33" customFormat="false" ht="15" hidden="false" customHeight="false" outlineLevel="0" collapsed="false">
      <c r="A33" s="58" t="s">
        <v>249</v>
      </c>
      <c r="B33" s="61" t="s">
        <v>266</v>
      </c>
      <c r="C33" s="0" t="n">
        <v>200</v>
      </c>
      <c r="E33" s="1" t="s">
        <v>267</v>
      </c>
    </row>
    <row r="34" customFormat="false" ht="15" hidden="false" customHeight="false" outlineLevel="0" collapsed="false">
      <c r="A34" s="58" t="s">
        <v>249</v>
      </c>
      <c r="B34" s="61" t="s">
        <v>268</v>
      </c>
      <c r="C34" s="0" t="n">
        <v>50</v>
      </c>
      <c r="E34" s="1" t="s">
        <v>269</v>
      </c>
    </row>
    <row r="35" customFormat="false" ht="15" hidden="false" customHeight="false" outlineLevel="0" collapsed="false">
      <c r="A35" s="58" t="s">
        <v>249</v>
      </c>
      <c r="B35" s="61" t="s">
        <v>270</v>
      </c>
      <c r="C35" s="0" t="n">
        <v>100</v>
      </c>
      <c r="E35" s="1" t="s">
        <v>271</v>
      </c>
    </row>
    <row r="36" customFormat="false" ht="17.15" hidden="false" customHeight="false" outlineLevel="0" collapsed="false">
      <c r="A36" s="58" t="s">
        <v>249</v>
      </c>
      <c r="B36" s="61" t="s">
        <v>272</v>
      </c>
      <c r="C36" s="0" t="n">
        <v>1000</v>
      </c>
      <c r="E36" s="1" t="s">
        <v>273</v>
      </c>
    </row>
    <row r="37" customFormat="false" ht="15" hidden="false" customHeight="false" outlineLevel="0" collapsed="false">
      <c r="A37" s="58" t="s">
        <v>249</v>
      </c>
      <c r="B37" s="61" t="s">
        <v>274</v>
      </c>
      <c r="C37" s="0" t="n">
        <v>700</v>
      </c>
      <c r="E37" s="1" t="s">
        <v>275</v>
      </c>
    </row>
    <row r="38" customFormat="false" ht="17.15" hidden="false" customHeight="false" outlineLevel="0" collapsed="false">
      <c r="A38" s="58" t="s">
        <v>249</v>
      </c>
      <c r="B38" s="61" t="s">
        <v>276</v>
      </c>
      <c r="C38" s="0" t="n">
        <v>500</v>
      </c>
      <c r="E38" s="1" t="s">
        <v>277</v>
      </c>
    </row>
    <row r="39" customFormat="false" ht="15" hidden="false" customHeight="false" outlineLevel="0" collapsed="false">
      <c r="A39" s="58" t="s">
        <v>249</v>
      </c>
      <c r="B39" s="61" t="s">
        <v>278</v>
      </c>
      <c r="C39" s="0" t="n">
        <v>500</v>
      </c>
      <c r="E39" s="1" t="s">
        <v>279</v>
      </c>
    </row>
    <row r="40" customFormat="false" ht="17.15" hidden="false" customHeight="false" outlineLevel="0" collapsed="false">
      <c r="A40" s="58" t="s">
        <v>249</v>
      </c>
      <c r="B40" s="61" t="s">
        <v>280</v>
      </c>
      <c r="C40" s="0" t="n">
        <v>500</v>
      </c>
      <c r="E40" s="1" t="s">
        <v>281</v>
      </c>
    </row>
    <row r="41" customFormat="false" ht="17.15" hidden="false" customHeight="false" outlineLevel="0" collapsed="false">
      <c r="A41" s="58" t="s">
        <v>249</v>
      </c>
      <c r="B41" s="61" t="s">
        <v>282</v>
      </c>
      <c r="C41" s="0" t="n">
        <v>500</v>
      </c>
      <c r="E41" s="1" t="s">
        <v>283</v>
      </c>
    </row>
    <row r="42" customFormat="false" ht="17.15" hidden="false" customHeight="false" outlineLevel="0" collapsed="false">
      <c r="A42" s="58" t="s">
        <v>249</v>
      </c>
      <c r="B42" s="61" t="s">
        <v>284</v>
      </c>
      <c r="C42" s="0" t="n">
        <v>500</v>
      </c>
      <c r="E42" s="1" t="s">
        <v>285</v>
      </c>
    </row>
    <row r="43" customFormat="false" ht="15" hidden="false" customHeight="false" outlineLevel="0" collapsed="false">
      <c r="A43" s="58" t="s">
        <v>249</v>
      </c>
      <c r="B43" s="61" t="s">
        <v>286</v>
      </c>
      <c r="C43" s="0" t="n">
        <v>100</v>
      </c>
      <c r="E43" s="1" t="s">
        <v>287</v>
      </c>
    </row>
    <row r="44" customFormat="false" ht="17.15" hidden="false" customHeight="false" outlineLevel="0" collapsed="false">
      <c r="A44" s="58" t="s">
        <v>249</v>
      </c>
      <c r="B44" s="61" t="s">
        <v>254</v>
      </c>
      <c r="C44" s="0" t="n">
        <v>200</v>
      </c>
      <c r="E44" s="1" t="s">
        <v>288</v>
      </c>
    </row>
    <row r="45" customFormat="false" ht="17.15" hidden="false" customHeight="false" outlineLevel="0" collapsed="false">
      <c r="A45" s="58" t="s">
        <v>249</v>
      </c>
      <c r="B45" s="61" t="s">
        <v>289</v>
      </c>
      <c r="C45" s="0" t="n">
        <v>1000</v>
      </c>
      <c r="E45" s="1" t="s">
        <v>290</v>
      </c>
    </row>
    <row r="46" customFormat="false" ht="17.15" hidden="false" customHeight="false" outlineLevel="0" collapsed="false">
      <c r="A46" s="58" t="s">
        <v>249</v>
      </c>
      <c r="B46" s="61" t="s">
        <v>291</v>
      </c>
      <c r="C46" s="0" t="n">
        <v>5</v>
      </c>
      <c r="E46" s="1" t="s">
        <v>292</v>
      </c>
    </row>
    <row r="47" customFormat="false" ht="17.15" hidden="false" customHeight="false" outlineLevel="0" collapsed="false">
      <c r="A47" s="58" t="s">
        <v>249</v>
      </c>
      <c r="B47" s="61" t="s">
        <v>293</v>
      </c>
      <c r="C47" s="0" t="n">
        <v>500</v>
      </c>
      <c r="E47" s="1" t="s">
        <v>294</v>
      </c>
    </row>
    <row r="48" customFormat="false" ht="17.15" hidden="false" customHeight="false" outlineLevel="0" collapsed="false">
      <c r="A48" s="58" t="s">
        <v>249</v>
      </c>
      <c r="B48" s="61" t="s">
        <v>295</v>
      </c>
      <c r="C48" s="0" t="n">
        <v>2000</v>
      </c>
      <c r="E48" s="1" t="s">
        <v>296</v>
      </c>
    </row>
    <row r="49" customFormat="false" ht="15" hidden="false" customHeight="false" outlineLevel="0" collapsed="false">
      <c r="A49" s="58" t="s">
        <v>249</v>
      </c>
      <c r="B49" s="61" t="s">
        <v>297</v>
      </c>
      <c r="C49" s="0" t="n">
        <v>2000</v>
      </c>
      <c r="E49" s="1" t="s">
        <v>298</v>
      </c>
    </row>
    <row r="50" customFormat="false" ht="15" hidden="false" customHeight="false" outlineLevel="0" collapsed="false">
      <c r="A50" s="58" t="s">
        <v>249</v>
      </c>
      <c r="B50" s="61" t="s">
        <v>299</v>
      </c>
      <c r="C50" s="0" t="n">
        <v>100</v>
      </c>
      <c r="E50" s="1" t="s">
        <v>300</v>
      </c>
    </row>
    <row r="51" customFormat="false" ht="15" hidden="false" customHeight="false" outlineLevel="0" collapsed="false">
      <c r="A51" s="58" t="s">
        <v>249</v>
      </c>
      <c r="B51" s="61" t="s">
        <v>301</v>
      </c>
      <c r="C51" s="0" t="n">
        <v>2</v>
      </c>
      <c r="E51" s="1" t="s">
        <v>302</v>
      </c>
    </row>
    <row r="52" customFormat="false" ht="15" hidden="false" customHeight="false" outlineLevel="0" collapsed="false">
      <c r="A52" s="58" t="s">
        <v>249</v>
      </c>
      <c r="B52" s="61" t="s">
        <v>303</v>
      </c>
      <c r="C52" s="0" t="n">
        <v>200</v>
      </c>
      <c r="E52" s="1" t="s">
        <v>304</v>
      </c>
    </row>
    <row r="53" customFormat="false" ht="15" hidden="false" customHeight="false" outlineLevel="0" collapsed="false">
      <c r="A53" s="58" t="s">
        <v>249</v>
      </c>
      <c r="B53" s="61" t="s">
        <v>305</v>
      </c>
      <c r="C53" s="0" t="n">
        <v>100</v>
      </c>
      <c r="E53" s="1" t="s">
        <v>306</v>
      </c>
    </row>
    <row r="54" customFormat="false" ht="15" hidden="false" customHeight="false" outlineLevel="0" collapsed="false">
      <c r="A54" s="58" t="s">
        <v>249</v>
      </c>
      <c r="B54" s="61" t="s">
        <v>307</v>
      </c>
      <c r="C54" s="0" t="n">
        <v>20</v>
      </c>
      <c r="E54" s="1" t="s">
        <v>308</v>
      </c>
    </row>
    <row r="55" customFormat="false" ht="15" hidden="false" customHeight="false" outlineLevel="0" collapsed="false">
      <c r="A55" s="58" t="s">
        <v>249</v>
      </c>
      <c r="B55" s="61" t="s">
        <v>309</v>
      </c>
      <c r="C55" s="0" t="n">
        <v>20</v>
      </c>
      <c r="E55" s="1" t="s">
        <v>310</v>
      </c>
    </row>
    <row r="56" customFormat="false" ht="15" hidden="false" customHeight="false" outlineLevel="0" collapsed="false">
      <c r="A56" s="58" t="s">
        <v>249</v>
      </c>
      <c r="B56" s="61" t="s">
        <v>311</v>
      </c>
      <c r="C56" s="0" t="n">
        <v>500</v>
      </c>
      <c r="E56" s="1" t="s">
        <v>312</v>
      </c>
    </row>
    <row r="57" customFormat="false" ht="15" hidden="false" customHeight="false" outlineLevel="0" collapsed="false">
      <c r="A57" s="58" t="s">
        <v>249</v>
      </c>
      <c r="B57" s="61" t="s">
        <v>313</v>
      </c>
      <c r="C57" s="0" t="n">
        <v>300</v>
      </c>
      <c r="E57" s="1" t="s">
        <v>314</v>
      </c>
    </row>
    <row r="58" customFormat="false" ht="15" hidden="false" customHeight="false" outlineLevel="0" collapsed="false">
      <c r="A58" s="58" t="s">
        <v>249</v>
      </c>
      <c r="B58" s="61" t="s">
        <v>315</v>
      </c>
      <c r="C58" s="0" t="n">
        <v>10</v>
      </c>
      <c r="E58" s="1" t="s">
        <v>316</v>
      </c>
    </row>
    <row r="59" customFormat="false" ht="17.15" hidden="false" customHeight="false" outlineLevel="0" collapsed="false">
      <c r="A59" s="58" t="s">
        <v>249</v>
      </c>
      <c r="B59" s="61" t="s">
        <v>317</v>
      </c>
      <c r="C59" s="0" t="n">
        <v>100</v>
      </c>
      <c r="E59" s="1" t="s">
        <v>318</v>
      </c>
    </row>
    <row r="60" customFormat="false" ht="15" hidden="false" customHeight="false" outlineLevel="0" collapsed="false">
      <c r="A60" s="58" t="s">
        <v>249</v>
      </c>
      <c r="B60" s="61" t="s">
        <v>319</v>
      </c>
      <c r="C60" s="0" t="n">
        <v>3</v>
      </c>
      <c r="E60" s="1" t="s">
        <v>320</v>
      </c>
    </row>
    <row r="61" customFormat="false" ht="15" hidden="false" customHeight="false" outlineLevel="0" collapsed="false">
      <c r="A61" s="58" t="s">
        <v>321</v>
      </c>
      <c r="B61" s="61" t="s">
        <v>322</v>
      </c>
      <c r="C61" s="0" t="n">
        <v>2000</v>
      </c>
      <c r="E61" s="1" t="s">
        <v>323</v>
      </c>
    </row>
    <row r="62" customFormat="false" ht="15" hidden="false" customHeight="false" outlineLevel="0" collapsed="false">
      <c r="A62" s="58" t="s">
        <v>321</v>
      </c>
      <c r="B62" s="61" t="s">
        <v>324</v>
      </c>
      <c r="C62" s="0" t="n">
        <v>2000</v>
      </c>
      <c r="E62" s="1" t="s">
        <v>325</v>
      </c>
    </row>
    <row r="63" customFormat="false" ht="17.15" hidden="false" customHeight="false" outlineLevel="0" collapsed="false">
      <c r="A63" s="58" t="s">
        <v>326</v>
      </c>
      <c r="B63" s="61" t="s">
        <v>327</v>
      </c>
      <c r="C63" s="0" t="n">
        <v>100</v>
      </c>
      <c r="E63" s="1" t="s">
        <v>328</v>
      </c>
    </row>
    <row r="64" customFormat="false" ht="17.15" hidden="false" customHeight="false" outlineLevel="0" collapsed="false">
      <c r="A64" s="58" t="s">
        <v>326</v>
      </c>
      <c r="B64" s="61" t="s">
        <v>329</v>
      </c>
      <c r="C64" s="0" t="n">
        <v>5000</v>
      </c>
      <c r="E64" s="1" t="s">
        <v>330</v>
      </c>
    </row>
    <row r="68" customFormat="false" ht="17.15" hidden="false" customHeight="false" outlineLevel="0" collapsed="false">
      <c r="A68" s="0" t="s">
        <v>331</v>
      </c>
    </row>
    <row r="69" customFormat="false" ht="17.15" hidden="false" customHeight="false" outlineLevel="0" collapsed="false">
      <c r="A69" s="58" t="s">
        <v>204</v>
      </c>
      <c r="B69" s="61" t="s">
        <v>332</v>
      </c>
      <c r="C69" s="58" t="s">
        <v>333</v>
      </c>
      <c r="D69" s="61" t="s">
        <v>334</v>
      </c>
    </row>
    <row r="70" customFormat="false" ht="17.15" hidden="false" customHeight="false" outlineLevel="0" collapsed="false">
      <c r="A70" s="58" t="s">
        <v>249</v>
      </c>
      <c r="C70" s="62" t="s">
        <v>335</v>
      </c>
      <c r="D70" s="1" t="s">
        <v>336</v>
      </c>
    </row>
    <row r="72" customFormat="false" ht="17.15" hidden="false" customHeight="false" outlineLevel="0" collapsed="false">
      <c r="A72" s="0" t="s">
        <v>337</v>
      </c>
    </row>
    <row r="73" customFormat="false" ht="17.15" hidden="false" customHeight="false" outlineLevel="0" collapsed="false">
      <c r="A73" s="58" t="s">
        <v>204</v>
      </c>
      <c r="B73" s="61" t="s">
        <v>338</v>
      </c>
      <c r="C73" s="58" t="s">
        <v>339</v>
      </c>
      <c r="D73" s="61" t="s">
        <v>206</v>
      </c>
    </row>
    <row r="74" customFormat="false" ht="17.15" hidden="false" customHeight="false" outlineLevel="0" collapsed="false">
      <c r="A74" s="0" t="s">
        <v>340</v>
      </c>
      <c r="B74" s="61" t="s">
        <v>341</v>
      </c>
      <c r="C74" s="58" t="s">
        <v>106</v>
      </c>
      <c r="D74" s="1" t="n">
        <v>1000</v>
      </c>
    </row>
    <row r="75" customFormat="false" ht="17.15" hidden="false" customHeight="false" outlineLevel="0" collapsed="false">
      <c r="A75" s="0" t="s">
        <v>340</v>
      </c>
      <c r="B75" s="61" t="s">
        <v>342</v>
      </c>
      <c r="C75" s="58" t="s">
        <v>105</v>
      </c>
      <c r="D75" s="1" t="n">
        <v>1000</v>
      </c>
    </row>
    <row r="77" customFormat="false" ht="17.15" hidden="false" customHeight="false" outlineLevel="0" collapsed="false">
      <c r="A77" s="0" t="s">
        <v>343</v>
      </c>
    </row>
    <row r="78" customFormat="false" ht="17.15" hidden="false" customHeight="false" outlineLevel="0" collapsed="false">
      <c r="A78" s="58" t="s">
        <v>204</v>
      </c>
      <c r="B78" s="61" t="s">
        <v>338</v>
      </c>
      <c r="C78" s="58" t="s">
        <v>344</v>
      </c>
      <c r="D78" s="61" t="s">
        <v>206</v>
      </c>
    </row>
    <row r="79" customFormat="false" ht="15" hidden="false" customHeight="false" outlineLevel="0" collapsed="false">
      <c r="A79" s="58" t="s">
        <v>249</v>
      </c>
      <c r="B79" s="61" t="s">
        <v>345</v>
      </c>
      <c r="C79" s="58" t="s">
        <v>130</v>
      </c>
      <c r="D79" s="1" t="n">
        <v>40</v>
      </c>
    </row>
    <row r="80" customFormat="false" ht="17.15" hidden="false" customHeight="false" outlineLevel="0" collapsed="false">
      <c r="A80" s="58" t="s">
        <v>249</v>
      </c>
      <c r="B80" s="61" t="s">
        <v>346</v>
      </c>
      <c r="C80" s="58" t="s">
        <v>347</v>
      </c>
      <c r="D80" s="1" t="n">
        <v>1000</v>
      </c>
    </row>
    <row r="81" customFormat="false" ht="17.15" hidden="false" customHeight="false" outlineLevel="0" collapsed="false">
      <c r="A81" s="58" t="s">
        <v>249</v>
      </c>
      <c r="B81" s="1" t="s">
        <v>348</v>
      </c>
      <c r="C81" s="62" t="s">
        <v>349</v>
      </c>
      <c r="D81" s="1" t="n">
        <v>350</v>
      </c>
    </row>
    <row r="82" customFormat="false" ht="17.15" hidden="false" customHeight="false" outlineLevel="0" collapsed="false">
      <c r="A82" s="58" t="s">
        <v>249</v>
      </c>
      <c r="B82" s="61" t="s">
        <v>350</v>
      </c>
      <c r="C82" s="58" t="s">
        <v>351</v>
      </c>
      <c r="D82" s="1" t="n">
        <v>20</v>
      </c>
    </row>
    <row r="83" customFormat="false" ht="17.15" hidden="false" customHeight="false" outlineLevel="0" collapsed="false">
      <c r="A83" s="58" t="s">
        <v>249</v>
      </c>
      <c r="B83" s="61" t="s">
        <v>352</v>
      </c>
      <c r="C83" s="58" t="s">
        <v>353</v>
      </c>
      <c r="D83" s="1" t="n">
        <v>50</v>
      </c>
    </row>
    <row r="84" customFormat="false" ht="17.15" hidden="false" customHeight="false" outlineLevel="0" collapsed="false">
      <c r="A84" s="58" t="s">
        <v>249</v>
      </c>
      <c r="B84" s="61" t="s">
        <v>354</v>
      </c>
      <c r="C84" s="58" t="s">
        <v>355</v>
      </c>
      <c r="D84" s="1" t="n">
        <v>100</v>
      </c>
    </row>
    <row r="85" customFormat="false" ht="17.15" hidden="false" customHeight="false" outlineLevel="0" collapsed="false">
      <c r="A85" s="58" t="s">
        <v>249</v>
      </c>
      <c r="B85" s="61" t="s">
        <v>356</v>
      </c>
      <c r="C85" s="58" t="s">
        <v>357</v>
      </c>
      <c r="D85" s="1" t="n">
        <v>500</v>
      </c>
    </row>
    <row r="86" customFormat="false" ht="17.15" hidden="false" customHeight="false" outlineLevel="0" collapsed="false">
      <c r="A86" s="58" t="s">
        <v>249</v>
      </c>
      <c r="B86" s="61" t="s">
        <v>358</v>
      </c>
      <c r="C86" s="58" t="s">
        <v>114</v>
      </c>
      <c r="D86" s="1" t="n">
        <v>5</v>
      </c>
    </row>
    <row r="87" customFormat="false" ht="17.15" hidden="false" customHeight="false" outlineLevel="0" collapsed="false">
      <c r="A87" s="58" t="s">
        <v>249</v>
      </c>
      <c r="B87" s="61" t="s">
        <v>359</v>
      </c>
      <c r="C87" s="58" t="s">
        <v>114</v>
      </c>
      <c r="D87" s="1" t="n">
        <v>5</v>
      </c>
    </row>
    <row r="88" customFormat="false" ht="17.15" hidden="false" customHeight="false" outlineLevel="0" collapsed="false">
      <c r="A88" s="58" t="s">
        <v>249</v>
      </c>
      <c r="B88" s="61" t="s">
        <v>360</v>
      </c>
      <c r="C88" s="58" t="s">
        <v>132</v>
      </c>
      <c r="D88" s="1" t="n">
        <v>200</v>
      </c>
    </row>
    <row r="89" customFormat="false" ht="15" hidden="false" customHeight="false" outlineLevel="0" collapsed="false">
      <c r="A89" s="58" t="s">
        <v>326</v>
      </c>
      <c r="B89" s="61" t="s">
        <v>361</v>
      </c>
      <c r="C89" s="58" t="s">
        <v>81</v>
      </c>
      <c r="D89" s="1" t="n">
        <v>1000</v>
      </c>
    </row>
    <row r="90" customFormat="false" ht="15" hidden="false" customHeight="false" outlineLevel="0" collapsed="false">
      <c r="A90" s="58" t="s">
        <v>326</v>
      </c>
      <c r="B90" s="61" t="s">
        <v>362</v>
      </c>
      <c r="C90" s="58" t="s">
        <v>81</v>
      </c>
      <c r="D90" s="1" t="n">
        <v>200</v>
      </c>
    </row>
    <row r="92" customFormat="false" ht="17.15" hidden="false" customHeight="false" outlineLevel="0" collapsed="false">
      <c r="A92" s="63" t="s">
        <v>363</v>
      </c>
    </row>
    <row r="93" customFormat="false" ht="17.15" hidden="false" customHeight="false" outlineLevel="0" collapsed="false">
      <c r="A93" s="58" t="s">
        <v>204</v>
      </c>
      <c r="B93" s="61" t="s">
        <v>364</v>
      </c>
      <c r="C93" s="58" t="s">
        <v>365</v>
      </c>
      <c r="D93" s="61" t="s">
        <v>366</v>
      </c>
      <c r="E93" s="61" t="s">
        <v>367</v>
      </c>
      <c r="F93" s="58" t="s">
        <v>368</v>
      </c>
      <c r="G93" s="58" t="s">
        <v>369</v>
      </c>
      <c r="H93" s="58" t="s">
        <v>370</v>
      </c>
      <c r="I93" s="58" t="s">
        <v>371</v>
      </c>
    </row>
    <row r="94" customFormat="false" ht="17.15" hidden="false" customHeight="false" outlineLevel="0" collapsed="false">
      <c r="A94" s="58" t="s">
        <v>209</v>
      </c>
      <c r="B94" s="61" t="s">
        <v>372</v>
      </c>
      <c r="C94" s="62" t="s">
        <v>373</v>
      </c>
      <c r="D94" s="1" t="s">
        <v>374</v>
      </c>
      <c r="E94" s="61" t="s">
        <v>375</v>
      </c>
      <c r="F94" s="0" t="n">
        <v>5000</v>
      </c>
      <c r="G94" s="62" t="s">
        <v>376</v>
      </c>
      <c r="H94" s="0" t="n">
        <v>0</v>
      </c>
      <c r="I94" s="58" t="s">
        <v>377</v>
      </c>
    </row>
    <row r="95" customFormat="false" ht="17.15" hidden="false" customHeight="false" outlineLevel="0" collapsed="false">
      <c r="A95" s="0" t="s">
        <v>378</v>
      </c>
    </row>
    <row r="97" customFormat="false" ht="17.15" hidden="false" customHeight="false" outlineLevel="0" collapsed="false">
      <c r="A97" s="0" t="s">
        <v>379</v>
      </c>
    </row>
    <row r="98" customFormat="false" ht="17.15" hidden="false" customHeight="false" outlineLevel="0" collapsed="false">
      <c r="A98" s="58" t="s">
        <v>204</v>
      </c>
      <c r="B98" s="61" t="s">
        <v>338</v>
      </c>
      <c r="C98" s="58" t="s">
        <v>339</v>
      </c>
      <c r="D98" s="61" t="s">
        <v>206</v>
      </c>
    </row>
    <row r="99" customFormat="false" ht="17.15" hidden="false" customHeight="false" outlineLevel="0" collapsed="false">
      <c r="A99" s="0" t="s">
        <v>340</v>
      </c>
      <c r="B99" s="61" t="s">
        <v>380</v>
      </c>
      <c r="C99" s="58" t="s">
        <v>71</v>
      </c>
      <c r="D99" s="1" t="n">
        <v>100</v>
      </c>
    </row>
    <row r="100" customFormat="false" ht="17.15" hidden="false" customHeight="false" outlineLevel="0" collapsed="false">
      <c r="A100" s="0" t="s">
        <v>340</v>
      </c>
      <c r="B100" s="61" t="s">
        <v>381</v>
      </c>
      <c r="C100" s="58" t="s">
        <v>382</v>
      </c>
      <c r="D100" s="1" t="n">
        <v>100</v>
      </c>
    </row>
    <row r="101" customFormat="false" ht="17.15" hidden="false" customHeight="false" outlineLevel="0" collapsed="false">
      <c r="A101" s="0" t="s">
        <v>340</v>
      </c>
      <c r="B101" s="61" t="s">
        <v>383</v>
      </c>
      <c r="C101" s="58" t="s">
        <v>71</v>
      </c>
      <c r="D101" s="1" t="n">
        <v>500</v>
      </c>
    </row>
    <row r="102" customFormat="false" ht="15" hidden="false" customHeight="false" outlineLevel="0" collapsed="false">
      <c r="A102" s="58" t="s">
        <v>326</v>
      </c>
      <c r="B102" s="61" t="s">
        <v>384</v>
      </c>
      <c r="C102" s="58" t="s">
        <v>71</v>
      </c>
      <c r="D102" s="1" t="n">
        <v>5000</v>
      </c>
    </row>
    <row r="103" customFormat="false" ht="17.15" hidden="false" customHeight="false" outlineLevel="0" collapsed="false">
      <c r="A103" s="58" t="s">
        <v>326</v>
      </c>
      <c r="B103" s="61" t="s">
        <v>385</v>
      </c>
      <c r="C103" s="58" t="s">
        <v>382</v>
      </c>
      <c r="D103" s="1" t="n">
        <v>1000</v>
      </c>
    </row>
    <row r="104" customFormat="false" ht="15" hidden="false" customHeight="false" outlineLevel="0" collapsed="false">
      <c r="A104" s="58" t="s">
        <v>326</v>
      </c>
      <c r="B104" s="61" t="s">
        <v>386</v>
      </c>
      <c r="C104" s="58" t="s">
        <v>71</v>
      </c>
      <c r="D104" s="1" t="n">
        <v>3000</v>
      </c>
    </row>
    <row r="106" customFormat="false" ht="20.1" hidden="false" customHeight="false" outlineLevel="0" collapsed="false">
      <c r="A106" s="59" t="s">
        <v>387</v>
      </c>
    </row>
    <row r="107" customFormat="false" ht="15" hidden="false" customHeight="false" outlineLevel="0" collapsed="false">
      <c r="A107" s="58" t="s">
        <v>388</v>
      </c>
      <c r="B107" s="61" t="s">
        <v>389</v>
      </c>
      <c r="C107" s="58" t="s">
        <v>390</v>
      </c>
      <c r="D107" s="61" t="s">
        <v>391</v>
      </c>
    </row>
    <row r="108" customFormat="false" ht="15" hidden="false" customHeight="false" outlineLevel="0" collapsed="false">
      <c r="A108" s="64" t="s">
        <v>63</v>
      </c>
      <c r="B108" s="64" t="n">
        <v>109040</v>
      </c>
      <c r="C108" s="64" t="n">
        <v>86260</v>
      </c>
      <c r="D108" s="64" t="n">
        <v>-22780</v>
      </c>
    </row>
    <row r="109" customFormat="false" ht="15" hidden="false" customHeight="false" outlineLevel="0" collapsed="false">
      <c r="A109" s="64" t="s">
        <v>392</v>
      </c>
      <c r="B109" s="64" t="n">
        <v>107940</v>
      </c>
      <c r="C109" s="64" t="n">
        <v>83160</v>
      </c>
      <c r="D109" s="64" t="n">
        <v>-24780</v>
      </c>
    </row>
    <row r="110" customFormat="false" ht="17.15" hidden="false" customHeight="false" outlineLevel="0" collapsed="false">
      <c r="A110" s="64" t="s">
        <v>393</v>
      </c>
      <c r="B110" s="64" t="n">
        <v>8600</v>
      </c>
      <c r="C110" s="64" t="n">
        <v>10600</v>
      </c>
      <c r="D110" s="64" t="n">
        <v>2000</v>
      </c>
    </row>
    <row r="111" customFormat="false" ht="15" hidden="false" customHeight="false" outlineLevel="0" collapsed="false">
      <c r="A111" s="64" t="s">
        <v>71</v>
      </c>
      <c r="B111" s="64" t="n">
        <v>9100</v>
      </c>
      <c r="C111" s="64" t="n">
        <v>12600</v>
      </c>
      <c r="D111" s="64" t="n">
        <v>3500</v>
      </c>
    </row>
    <row r="112" customFormat="false" ht="15" hidden="false" customHeight="false" outlineLevel="0" collapsed="false">
      <c r="A112" s="64" t="s">
        <v>82</v>
      </c>
      <c r="B112" s="64" t="n">
        <v>1000</v>
      </c>
      <c r="C112" s="64" t="n">
        <v>0</v>
      </c>
      <c r="D112" s="64" t="n">
        <v>-1000</v>
      </c>
    </row>
    <row r="113" customFormat="false" ht="15" hidden="false" customHeight="false" outlineLevel="0" collapsed="false">
      <c r="A113" s="64" t="s">
        <v>123</v>
      </c>
      <c r="B113" s="64" t="n">
        <v>200</v>
      </c>
      <c r="C113" s="64" t="n">
        <v>100</v>
      </c>
      <c r="D113" s="64" t="n">
        <v>-100</v>
      </c>
    </row>
    <row r="114" customFormat="false" ht="15" hidden="false" customHeight="false" outlineLevel="0" collapsed="false">
      <c r="A114" s="64" t="s">
        <v>144</v>
      </c>
      <c r="B114" s="64" t="n">
        <v>3000</v>
      </c>
      <c r="C114" s="64" t="n">
        <v>3020</v>
      </c>
      <c r="D114" s="64" t="n">
        <v>20</v>
      </c>
    </row>
    <row r="115" customFormat="false" ht="15" hidden="false" customHeight="false" outlineLevel="0" collapsed="false">
      <c r="A115" s="64" t="s">
        <v>148</v>
      </c>
      <c r="B115" s="64" t="n">
        <v>3800</v>
      </c>
      <c r="C115" s="64" t="n">
        <v>3000</v>
      </c>
      <c r="D115" s="64" t="n">
        <v>-800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394</v>
      </c>
      <c r="B1" s="0" t="s">
        <v>395</v>
      </c>
      <c r="C1" s="0" t="s">
        <v>396</v>
      </c>
    </row>
    <row r="2" customFormat="false" ht="17.15" hidden="false" customHeight="false" outlineLevel="0" collapsed="false">
      <c r="A2" s="58" t="s">
        <v>87</v>
      </c>
      <c r="B2" s="58" t="s">
        <v>397</v>
      </c>
      <c r="C2" s="0" t="n">
        <v>1000</v>
      </c>
    </row>
    <row r="3" customFormat="false" ht="17.15" hidden="false" customHeight="false" outlineLevel="0" collapsed="false">
      <c r="A3" s="58" t="s">
        <v>86</v>
      </c>
      <c r="B3" s="58" t="s">
        <v>398</v>
      </c>
      <c r="C3" s="0" t="n">
        <v>1000</v>
      </c>
    </row>
    <row r="4" customFormat="false" ht="17.15" hidden="false" customHeight="false" outlineLevel="0" collapsed="false">
      <c r="A4" s="58" t="s">
        <v>106</v>
      </c>
      <c r="B4" s="58" t="s">
        <v>341</v>
      </c>
      <c r="C4" s="0" t="n">
        <v>1000</v>
      </c>
    </row>
    <row r="5" customFormat="false" ht="17.15" hidden="false" customHeight="false" outlineLevel="0" collapsed="false">
      <c r="A5" s="58" t="s">
        <v>105</v>
      </c>
      <c r="B5" s="58" t="s">
        <v>342</v>
      </c>
      <c r="C5" s="0" t="n">
        <v>1000</v>
      </c>
    </row>
    <row r="6" customFormat="false" ht="15" hidden="false" customHeight="false" outlineLevel="0" collapsed="false">
      <c r="A6" s="58" t="s">
        <v>71</v>
      </c>
      <c r="B6" s="58" t="s">
        <v>384</v>
      </c>
      <c r="C6" s="0" t="n">
        <v>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2022-06-08T10:29:30Z</dcterms:created>
  <dc:creator>user</dc:creator>
  <dc:description/>
  <dc:language>en-US</dc:language>
  <cp:lastModifiedBy>Windows</cp:lastModifiedBy>
  <cp:lastPrinted>2026-05-12T16:05:05Z</cp:lastPrinted>
  <dcterms:modified xsi:type="dcterms:W3CDTF">2026-07-30T15:51:46Z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