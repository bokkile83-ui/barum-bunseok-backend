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<sst xmlns="http://schemas.openxmlformats.org/spreadsheetml/2006/main" count="356" uniqueCount="258">
  <si>
    <t xml:space="preserve">한정환 보장진단</t>
  </si>
  <si>
    <r>
      <rPr>
        <b val="true"/>
        <sz val="9"/>
        <color rgb="FFFFFFFF"/>
        <rFont val="Noto Sans CJK SC"/>
        <family val="2"/>
      </rPr>
      <t xml:space="preserve">한화손보
무배당 마이라이프 한아름종합보험</t>
    </r>
    <r>
      <rPr>
        <b val="true"/>
        <sz val="9"/>
        <color rgb="FFFFFFFF"/>
        <rFont val="맑은 고딕"/>
        <family val="0"/>
        <charset val="1"/>
      </rPr>
      <t xml:space="preserve">1710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</si>
  <si>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참좋은운전자상해보험</t>
    </r>
    <r>
      <rPr>
        <b val="true"/>
        <sz val="9"/>
        <color rgb="FFFFFFFF"/>
        <rFont val="맑은 고딕"/>
        <family val="0"/>
        <charset val="1"/>
      </rPr>
      <t xml:space="preserve">2510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</si>
  <si>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신한라이프생명
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라이프케어</t>
    </r>
    <r>
      <rPr>
        <b val="true"/>
        <sz val="9"/>
        <color rgb="FFFFFFFF"/>
        <rFont val="맑은 고딕"/>
        <family val="0"/>
        <charset val="1"/>
      </rPr>
      <t xml:space="preserve">CI </t>
    </r>
    <r>
      <rPr>
        <b val="true"/>
        <sz val="9"/>
        <color rgb="FFFFFFFF"/>
        <rFont val="Noto Sans CJK SC"/>
        <family val="2"/>
      </rPr>
      <t xml:space="preserve">종신보험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</si>
  <si>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변액유니버셜 세번받을수있는 </t>
    </r>
    <r>
      <rPr>
        <b val="true"/>
        <sz val="9"/>
        <color rgb="FFFFFFFF"/>
        <rFont val="맑은 고딕"/>
        <family val="0"/>
        <charset val="1"/>
      </rPr>
      <t xml:space="preserve">CI</t>
    </r>
    <r>
      <rPr>
        <b val="true"/>
        <sz val="9"/>
        <color rgb="FFFFFFFF"/>
        <rFont val="Noto Sans CJK SC"/>
        <family val="2"/>
      </rPr>
      <t xml:space="preserve">종신보험</t>
    </r>
    <r>
      <rPr>
        <b val="true"/>
        <sz val="9"/>
        <color rgb="FFFFFFFF"/>
        <rFont val="맑은 고딕"/>
        <family val="0"/>
        <charset val="1"/>
      </rPr>
      <t xml:space="preserve">(1701)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
(3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</si>
  <si>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메트라이프생명
무배당 마스터플랜 변액유니버셜종신Ⅱ보험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</si>
  <si>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t xml:space="preserve">합계</t>
  </si>
  <si>
    <t xml:space="preserve">보험료</t>
  </si>
  <si>
    <t xml:space="preserve">가입년일</t>
  </si>
  <si>
    <t xml:space="preserve">2018.03.30</t>
  </si>
  <si>
    <t xml:space="preserve">2025.11.18</t>
  </si>
  <si>
    <t xml:space="preserve">2006.04.07</t>
  </si>
  <si>
    <t xml:space="preserve">2012.06.30</t>
  </si>
  <si>
    <t xml:space="preserve">만기일자</t>
  </si>
  <si>
    <t xml:space="preserve">2082.03.30</t>
  </si>
  <si>
    <t xml:space="preserve">2045.11.18</t>
  </si>
  <si>
    <t xml:space="preserve">9999.12.31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</si>
  <si>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</si>
  <si>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</si>
  <si>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</si>
  <si>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46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</si>
  <si>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</si>
  <si>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</si>
  <si>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</si>
  <si>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</si>
  <si>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</si>
  <si>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</si>
  <si>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</si>
  <si>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</si>
  <si>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</si>
  <si>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</si>
  <si>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</si>
  <si>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</si>
  <si>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</si>
  <si>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</si>
  <si>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</si>
  <si>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</si>
  <si>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</si>
  <si>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</si>
  <si>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</si>
  <si>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</si>
  <si>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</si>
  <si>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</si>
  <si>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</si>
  <si>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</si>
  <si>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</si>
  <si>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</si>
  <si>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</si>
  <si>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</si>
  <si>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</si>
  <si>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</si>
  <si>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</si>
  <si>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</si>
  <si>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</si>
  <si>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</si>
  <si>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중대한 뇌출혈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</si>
  <si>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</si>
  <si>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</si>
  <si>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</si>
  <si>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</si>
  <si>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</si>
  <si>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</si>
  <si>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</si>
  <si>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</si>
  <si>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</si>
  <si>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</si>
  <si>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</si>
  <si>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</si>
  <si>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</si>
  <si>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</si>
  <si>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</si>
  <si>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</si>
  <si>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</si>
  <si>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</si>
  <si>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</si>
  <si>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</si>
  <si>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</si>
  <si>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상급병원질병입원일당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</si>
  <si>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</si>
  <si>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</si>
  <si>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</si>
  <si>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</si>
  <si>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</si>
  <si>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</si>
  <si>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</si>
  <si>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</si>
  <si>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</si>
  <si>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</si>
  <si>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</si>
  <si>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</si>
  <si>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</si>
  <si>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20/50/100/500/1000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</si>
  <si>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</si>
  <si>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</si>
  <si>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</si>
  <si>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</si>
  <si>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</si>
  <si>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</si>
  <si>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</si>
  <si>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</si>
  <si>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</si>
  <si>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</si>
  <si>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</si>
  <si>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</si>
  <si>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</si>
  <si>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</si>
  <si>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</si>
  <si>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</si>
  <si>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</si>
  <si>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</si>
  <si>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</si>
  <si>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</si>
  <si>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</si>
  <si>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</si>
  <si>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</si>
  <si>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</si>
  <si>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</si>
  <si>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</si>
  <si>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</si>
  <si>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</si>
  <si>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</si>
  <si>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</si>
  <si>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</si>
  <si>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</si>
  <si>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</si>
  <si>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</si>
  <si>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</si>
  <si>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</si>
  <si>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</si>
  <si>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</si>
  <si>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</si>
  <si>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300/350/250</t>
  </si>
  <si>
    <t xml:space="preserve">상해의료비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</si>
  <si>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</si>
  <si>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</si>
  <si>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</si>
  <si>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</si>
  <si>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</si>
  <si>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</si>
  <si>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</si>
  <si>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</si>
  <si>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</si>
  <si>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</si>
  <si>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</si>
  <si>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</si>
  <si>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</si>
  <si>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</si>
  <si>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</si>
  <si>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</si>
  <si>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</si>
  <si>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</si>
  <si>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</si>
  <si>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</si>
  <si>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</si>
  <si>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</si>
  <si>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</si>
  <si>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</si>
  <si>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</si>
  <si>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</si>
  <si>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</si>
  <si>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한정환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2026.07.26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</si>
  <si>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</si>
  <si>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</si>
  <si>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484,213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</si>
  <si>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</si>
  <si>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</si>
  <si>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</si>
  <si>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</si>
  <si>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</si>
  <si>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</si>
  <si>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</si>
  <si>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Noto Sans CJK SC"/>
        <family val="2"/>
      </rPr>
      <t xml:space="preserve">교통상해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이상후유장해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</si>
  <si>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EC%83%81%ED%95%B4%EB%B3%B4%ED%97%982510%20%EA%B5%90%ED%86%B5%EC%83%81%ED%95%B450%25%EC%9D%B4%EC%83%81%ED%9B%84%EC%9C%A0%EC%9E%A5%20%EC%95%BD%EA%B4%80%20%EB%B3%B4%EC%9E%A5%EB%82%B4%EC%9A%A9</t>
  </si>
  <si>
    <r>
      <rPr>
        <sz val="11"/>
        <color rgb="FF000000"/>
        <rFont val="Noto Sans CJK SC"/>
        <family val="2"/>
      </rPr>
      <t xml:space="preserve">상급종합병원상해수술비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</si>
  <si>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EC%83%81%ED%95%B4%EB%B3%B4%ED%97%982510%20%EC%83%81%EA%B8%89%EC%A2%85%ED%95%A9%EB%B3%91%EC%9B%90%EC%83%81%ED%95%B4%EC%88%98%EC%88%A0%EB%B9%84%28%20%EC%95%BD%EA%B4%80%20%EB%B3%B4%EC%9E%A5%EB%82%B4%EC%9A%A9</t>
  </si>
  <si>
    <r>
      <rPr>
        <sz val="11"/>
        <color rgb="FF000000"/>
        <rFont val="Noto Sans CJK SC"/>
        <family val="2"/>
      </rPr>
      <t xml:space="preserve">자동차부상치료비Ⅱ</t>
    </r>
    <r>
      <rPr>
        <sz val="11"/>
        <color rgb="FF000000"/>
        <rFont val="맑은 고딕"/>
        <family val="3"/>
        <charset val="129"/>
      </rPr>
      <t xml:space="preserve">(1~7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</si>
  <si>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EC%83%81%ED%95%B4%EB%B3%B4%ED%97%982510%20%EC%9E%90%EB%8F%99%EC%B0%A8%EB%B6%80%EC%83%81%EC%B9%98%EB%A3%8C%EB%B9%84%E2%85%A1%281~%20%EC%95%BD%EA%B4%80%20%EB%B3%B4%EC%9E%A5%EB%82%B4%EC%9A%A9</t>
  </si>
  <si>
    <t xml:space="preserve">신한라이프생명</t>
  </si>
  <si>
    <t xml:space="preserve">질병종수술</t>
  </si>
  <si>
    <t xml:space="preserve">https://search.naver.com/search.naver?query=%EC%8B%A0%ED%95%9C%EB%9D%BC%EC%9D%B4%ED%94%84%EC%83%9D%EB%AA%85%20%EB%AC%B4%20%EB%9D%BC%EC%9D%B4%ED%94%84%EC%BC%80%EC%96%B4CI%20%EC%A2%85%EC%8B%A0%EB%B3%B4%ED%97%98%20%EC%A7%88%EB%B3%91%EC%A2%85%EC%88%98%EC%88%A0%20%EC%95%BD%EA%B4%80%20%EB%B3%B4%EC%9E%A5%EB%82%B4%EC%9A%A9</t>
  </si>
  <si>
    <t xml:space="preserve">상해종수술</t>
  </si>
  <si>
    <t xml:space="preserve">https://search.naver.com/search.naver?query=%EC%8B%A0%ED%95%9C%EB%9D%BC%EC%9D%B4%ED%94%84%EC%83%9D%EB%AA%85%20%EB%AC%B4%20%EB%9D%BC%EC%9D%B4%ED%94%84%EC%BC%80%EC%96%B4CI%20%EC%A2%85%EC%8B%A0%EB%B3%B4%ED%97%98%20%EC%83%81%ED%95%B4%EC%A2%85%EC%88%98%EC%88%A0%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</si>
  <si>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생명</t>
    </r>
  </si>
  <si>
    <t xml:space="preserve">치매진단</t>
  </si>
  <si>
    <t xml:space="preserve">https://search.naver.com/search.naver?query=DB%EC%83%9D%EB%AA%85%20%EB%AC%B4%20%20%EB%B3%80%EC%95%A1%EC%9C%A0%EB%8B%88%EB%B2%84%EC%85%9C%20%EC%84%B8%EB%B2%88%EB%B0%9B%EC%9D%84%EC%88%98%EC%9E%88%EB%8A%94%20%EC%B9%98%EB%A7%A4%EC%A7%84%EB%8B%A8%20%EC%95%BD%EA%B4%80%20%EB%B3%B4%EC%9E%A5%EB%82%B4%EC%9A%A9</t>
  </si>
  <si>
    <t xml:space="preserve">특정질병진단</t>
  </si>
  <si>
    <t xml:space="preserve">https://search.naver.com/search.naver?query=DB%EC%83%9D%EB%AA%85%20%EB%AC%B4%20%20%EB%B3%80%EC%95%A1%EC%9C%A0%EB%8B%88%EB%B2%84%EC%85%9C%20%EC%84%B8%EB%B2%88%EB%B0%9B%EC%9D%84%EC%88%98%EC%9E%88%EB%8A%94%20%ED%8A%B9%EC%A0%95%EC%A7%88%EB%B3%91%EC%A7%84%EB%8B%A8%20%EC%95%BD%EA%B4%80%20%EB%B3%B4%EC%9E%A5%EB%82%B4%EC%9A%A9</t>
  </si>
  <si>
    <t xml:space="preserve">https://search.naver.com/search.naver?query=DB%EC%83%9D%EB%AA%85%20%EB%AC%B4%20%20%EB%B3%80%EC%95%A1%EC%9C%A0%EB%8B%88%EB%B2%84%EC%85%9C%20%EC%84%B8%EB%B2%88%EB%B0%9B%EC%9D%84%EC%88%98%EC%9E%88%EB%8A%94%20%EC%A7%88%EB%B3%91%EC%A2%85%EC%88%98%EC%88%A0%20%EC%95%BD%EA%B4%80%20%EB%B3%B4%EC%9E%A5%EB%82%B4%EC%9A%A9</t>
  </si>
  <si>
    <t xml:space="preserve">https://search.naver.com/search.naver?query=DB%EC%83%9D%EB%AA%85%20%EB%AC%B4%20%20%EB%B3%80%EC%95%A1%EC%9C%A0%EB%8B%88%EB%B2%84%EC%85%9C%20%EC%84%B8%EB%B2%88%EB%B0%9B%EC%9D%84%EC%88%98%EC%9E%88%EB%8A%94%20%EC%83%81%ED%95%B4%EC%A2%85%EC%88%98%EC%88%A0%20%EC%95%BD%EA%B4%80%20%EB%B3%B4%EC%9E%A5%EB%82%B4%EC%9A%A9</t>
  </si>
  <si>
    <t xml:space="preserve">기타수술</t>
  </si>
  <si>
    <t xml:space="preserve">https://search.naver.com/search.naver?query=DB%EC%83%9D%EB%AA%85%20%EB%AC%B4%20%20%EB%B3%80%EC%95%A1%EC%9C%A0%EB%8B%88%EB%B2%84%EC%85%9C%20%EC%84%B8%EB%B2%88%EB%B0%9B%EC%9D%84%EC%88%98%EC%9E%88%EB%8A%94%20%EA%B8%B0%ED%83%80%EC%88%98%EC%88%A0%20%EC%95%BD%EA%B4%80%20%EB%B3%B4%EC%9E%A5%EB%82%B4%EC%9A%A9</t>
  </si>
  <si>
    <t xml:space="preserve">메트라이프생명</t>
  </si>
  <si>
    <t xml:space="preserve">https://search.naver.com/search.naver?query=%EB%A9%94%ED%8A%B8%EB%9D%BC%EC%9D%B4%ED%94%84%EC%83%9D%EB%AA%85%20%EB%AC%B4%EB%B0%B0%EB%8B%B9%20%EB%A7%88%EC%8A%A4%ED%84%B0%ED%94%8C%EB%9E%9C%20%EB%B3%80%EC%95%A1%EC%9C%A0%EB%8B%88%EB%B2%84%EC%85%9C%EC%A2%85%EC%8B%A0%20%EC%A7%88%EB%B3%91%EC%A2%85%EC%88%98%EC%88%A0%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</si>
  <si>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한신원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정액</t>
    </r>
    <r>
      <rPr>
        <sz val="11"/>
        <color rgb="FF000000"/>
        <rFont val="맑은 고딕"/>
        <family val="3"/>
        <charset val="129"/>
      </rPr>
      <t xml:space="preserve">)_</t>
    </r>
    <r>
      <rPr>
        <sz val="11"/>
        <color rgb="FF000000"/>
        <rFont val="Noto Sans CJK SC"/>
        <family val="2"/>
      </rPr>
      <t xml:space="preserve">특정질병수술</t>
    </r>
  </si>
  <si>
    <t xml:space="preserve">https://search.naver.com/search.naver?query=%EB%A9%94%ED%8A%B8%EB%9D%BC%EC%9D%B4%ED%94%84%EC%83%9D%EB%AA%85%20%EB%AC%B4%EB%B0%B0%EB%8B%B9%20%EB%A7%88%EC%8A%A4%ED%84%B0%ED%94%8C%EB%9E%9C%20%EB%B3%80%EC%95%A1%EC%9C%A0%EB%8B%88%EB%B2%84%EC%85%9C%EC%A2%85%EC%8B%A0%20%5B%ED%95%9C%EC%8B%A0%EC%9B%90%5D%EC%88%98%EC%88%A0%28%EC%A0%95%EC%95%A1%29_%20%EC%95%BD%EA%B4%80%20%EB%B3%B4%EC%9E%A5%EB%82%B4%EC%9A%A9</t>
  </si>
  <si>
    <t xml:space="preserve">https://search.naver.com/search.naver?query=%EB%A9%94%ED%8A%B8%EB%9D%BC%EC%9D%B4%ED%94%84%EC%83%9D%EB%AA%85%20%EB%AC%B4%EB%B0%B0%EB%8B%B9%20%EB%A7%88%EC%8A%A4%ED%84%B0%ED%94%8C%EB%9E%9C%20%EB%B3%80%EC%95%A1%EC%9C%A0%EB%8B%88%EB%B2%84%EC%85%9C%EC%A2%85%EC%8B%A0%20%EC%83%81%ED%95%B4%EC%A2%85%EC%88%98%EC%88%A0%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</si>
  <si>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한신원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입원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정액</t>
    </r>
    <r>
      <rPr>
        <sz val="11"/>
        <color rgb="FF000000"/>
        <rFont val="맑은 고딕"/>
        <family val="3"/>
        <charset val="129"/>
      </rPr>
      <t xml:space="preserve">)_</t>
    </r>
    <r>
      <rPr>
        <sz val="11"/>
        <color rgb="FF000000"/>
        <rFont val="Noto Sans CJK SC"/>
        <family val="2"/>
      </rPr>
      <t xml:space="preserve">특정질병입원일당</t>
    </r>
  </si>
  <si>
    <t xml:space="preserve">https://search.naver.com/search.naver?query=%EB%A9%94%ED%8A%B8%EB%9D%BC%EC%9D%B4%ED%94%84%EC%83%9D%EB%AA%85%20%EB%AC%B4%EB%B0%B0%EB%8B%B9%20%EB%A7%88%EC%8A%A4%ED%84%B0%ED%94%8C%EB%9E%9C%20%EB%B3%80%EC%95%A1%EC%9C%A0%EB%8B%88%EB%B2%84%EC%85%9C%EC%A2%85%EC%8B%A0%20%5B%ED%95%9C%EC%8B%A0%EC%9B%90%5D%EC%9E%85%EC%9B%90%28%EC%A0%95%EC%95%A1%29_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</si>
  <si>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</si>
  <si>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</si>
  <si>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</si>
  <si>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</si>
  <si>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1701</t>
  </si>
  <si>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</si>
  <si>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</si>
  <si>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</si>
  <si>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</si>
  <si>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t xml:space="preserve">한화손보</t>
  </si>
  <si>
    <t xml:space="preserve">급성심근경색증진단비</t>
  </si>
  <si>
    <t xml:space="preserve">허혈성심장질환진단비</t>
  </si>
  <si>
    <t xml:space="preserve">급성심근경색진단</t>
  </si>
  <si>
    <r>
      <rPr>
        <sz val="11"/>
        <color rgb="FF000000"/>
        <rFont val="Noto Sans CJK SC"/>
        <family val="2"/>
      </rPr>
      <t xml:space="preserve">급성심근경색증진단특약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정기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경청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일반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</si>
  <si>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</si>
  <si>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</si>
  <si>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</si>
  <si>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1-5</t>
    </r>
    <r>
      <rPr>
        <sz val="11"/>
        <color rgb="FF000000"/>
        <rFont val="Noto Sans CJK SC"/>
        <family val="2"/>
      </rPr>
      <t xml:space="preserve">종수술비Ⅱ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</si>
  <si>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</si>
  <si>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1-5</t>
    </r>
    <r>
      <rPr>
        <sz val="11"/>
        <color rgb="FF000000"/>
        <rFont val="Noto Sans CJK SC"/>
        <family val="2"/>
      </rPr>
      <t xml:space="preserve">종수술비Ⅱ</t>
    </r>
    <r>
      <rPr>
        <sz val="11"/>
        <color rgb="FF000000"/>
        <rFont val="맑은 고딕"/>
        <family val="3"/>
        <charset val="129"/>
      </rPr>
      <t xml:space="preserve">(2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</si>
  <si>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2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</si>
  <si>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1-5</t>
    </r>
    <r>
      <rPr>
        <sz val="11"/>
        <color rgb="FF000000"/>
        <rFont val="Noto Sans CJK SC"/>
        <family val="2"/>
      </rPr>
      <t xml:space="preserve">종수술비Ⅱ</t>
    </r>
    <r>
      <rPr>
        <sz val="11"/>
        <color rgb="FF000000"/>
        <rFont val="맑은 고딕"/>
        <family val="3"/>
        <charset val="129"/>
      </rPr>
      <t xml:space="preserve">(3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</si>
  <si>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3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</si>
  <si>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1-5</t>
    </r>
    <r>
      <rPr>
        <sz val="11"/>
        <color rgb="FF000000"/>
        <rFont val="Noto Sans CJK SC"/>
        <family val="2"/>
      </rPr>
      <t xml:space="preserve">종수술비Ⅱ</t>
    </r>
    <r>
      <rPr>
        <sz val="11"/>
        <color rgb="FF000000"/>
        <rFont val="맑은 고딕"/>
        <family val="3"/>
        <charset val="129"/>
      </rPr>
      <t xml:space="preserve">(4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</si>
  <si>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</si>
  <si>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1-5</t>
    </r>
    <r>
      <rPr>
        <sz val="11"/>
        <color rgb="FF000000"/>
        <rFont val="Noto Sans CJK SC"/>
        <family val="2"/>
      </rPr>
      <t xml:space="preserve">종수술비Ⅱ</t>
    </r>
    <r>
      <rPr>
        <sz val="11"/>
        <color rgb="FF000000"/>
        <rFont val="맑은 고딕"/>
        <family val="3"/>
        <charset val="129"/>
      </rPr>
      <t xml:space="preserve">(5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</si>
  <si>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</si>
  <si>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CI </t>
    </r>
    <r>
      <rPr>
        <sz val="11"/>
        <color rgb="FF000000"/>
        <rFont val="Noto Sans CJK SC"/>
        <family val="2"/>
      </rPr>
      <t xml:space="preserve">판정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선지급률 내역 </t>
    </r>
    <r>
      <rPr>
        <sz val="11"/>
        <color rgb="FF000000"/>
        <rFont val="맑은 고딕"/>
        <family val="3"/>
        <charset val="129"/>
      </rPr>
      <t xml:space="preserve">(CI </t>
    </r>
    <r>
      <rPr>
        <sz val="11"/>
        <color rgb="FF000000"/>
        <rFont val="Noto Sans CJK SC"/>
        <family val="2"/>
      </rPr>
      <t xml:space="preserve">계약은 항상 이 표를 확인할 것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</si>
  <si>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상품명</t>
  </si>
  <si>
    <t xml:space="preserve">①세부내역</t>
  </si>
  <si>
    <t xml:space="preserve">②별첨</t>
  </si>
  <si>
    <t xml:space="preserve">판정근거</t>
  </si>
  <si>
    <r>
      <rPr>
        <sz val="11"/>
        <color rgb="FF000000"/>
        <rFont val="Noto Sans CJK SC"/>
        <family val="2"/>
      </rPr>
      <t xml:space="preserve">사망보장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</si>
  <si>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선지급률</t>
  </si>
  <si>
    <r>
      <rPr>
        <sz val="11"/>
        <color rgb="FF000000"/>
        <rFont val="Noto Sans CJK SC"/>
        <family val="2"/>
      </rPr>
      <t xml:space="preserve">본체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</si>
  <si>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중대한</t>
    </r>
    <r>
      <rPr>
        <sz val="11"/>
        <color rgb="FF000000"/>
        <rFont val="맑은 고딕"/>
        <family val="3"/>
        <charset val="129"/>
      </rPr>
      <t xml:space="preserve">OO </t>
    </r>
    <r>
      <rPr>
        <sz val="11"/>
        <color rgb="FF000000"/>
        <rFont val="Noto Sans CJK SC"/>
        <family val="2"/>
      </rPr>
      <t xml:space="preserve">배치</t>
    </r>
  </si>
  <si>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라이프케어</t>
    </r>
    <r>
      <rPr>
        <sz val="11"/>
        <color rgb="FF000000"/>
        <rFont val="맑은 고딕"/>
        <family val="3"/>
        <charset val="129"/>
      </rPr>
      <t xml:space="preserve">CI </t>
    </r>
    <r>
      <rPr>
        <sz val="11"/>
        <color rgb="FF000000"/>
        <rFont val="Noto Sans CJK SC"/>
        <family val="2"/>
      </rPr>
      <t xml:space="preserve">종신보험</t>
    </r>
  </si>
  <si>
    <t xml:space="preserve">X</t>
  </si>
  <si>
    <t xml:space="preserve">O</t>
  </si>
  <si>
    <r>
      <rPr>
        <sz val="11"/>
        <color rgb="FF000000"/>
        <rFont val="Noto Sans CJK SC"/>
        <family val="2"/>
      </rPr>
      <t xml:space="preserve">③중대한</t>
    </r>
    <r>
      <rPr>
        <sz val="11"/>
        <color rgb="FF000000"/>
        <rFont val="맑은 고딕"/>
        <family val="3"/>
        <charset val="129"/>
      </rPr>
      <t xml:space="preserve">OO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</si>
  <si>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형</t>
    </r>
  </si>
  <si>
    <r>
      <rPr>
        <sz val="11"/>
        <color rgb="FF000000"/>
        <rFont val="Noto Sans CJK SC"/>
        <family val="2"/>
      </rPr>
      <t xml:space="preserve">중대한 암 </t>
    </r>
    <r>
      <rPr>
        <sz val="11"/>
        <color rgb="FF000000"/>
        <rFont val="맑은 고딕"/>
        <family val="3"/>
        <charset val="129"/>
      </rPr>
      <t xml:space="preserve">2,000 · </t>
    </r>
    <r>
      <rPr>
        <sz val="11"/>
        <color rgb="FF000000"/>
        <rFont val="Noto Sans CJK SC"/>
        <family val="2"/>
      </rPr>
      <t xml:space="preserve">중대한 뇌출혈 </t>
    </r>
    <r>
      <rPr>
        <sz val="11"/>
        <color rgb="FF000000"/>
        <rFont val="맑은 고딕"/>
        <family val="3"/>
        <charset val="129"/>
      </rPr>
      <t xml:space="preserve">2,000 · </t>
    </r>
    <r>
      <rPr>
        <sz val="11"/>
        <color rgb="FF000000"/>
        <rFont val="Noto Sans CJK SC"/>
        <family val="2"/>
      </rPr>
      <t xml:space="preserve">중대한 급성심근 </t>
    </r>
    <r>
      <rPr>
        <sz val="11"/>
        <color rgb="FF000000"/>
        <rFont val="맑은 고딕"/>
        <family val="3"/>
        <charset val="129"/>
      </rPr>
      <t xml:space="preserve">2,000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</si>
  <si>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변액유니버셜 세번받을수있는 </t>
    </r>
    <r>
      <rPr>
        <sz val="11"/>
        <color rgb="FF000000"/>
        <rFont val="맑은 고딕"/>
        <family val="3"/>
        <charset val="129"/>
      </rPr>
      <t xml:space="preserve">CI</t>
    </r>
    <r>
      <rPr>
        <sz val="11"/>
        <color rgb="FF000000"/>
        <rFont val="Noto Sans CJK SC"/>
        <family val="2"/>
      </rPr>
      <t xml:space="preserve">종신보험</t>
    </r>
    <r>
      <rPr>
        <sz val="11"/>
        <color rgb="FF000000"/>
        <rFont val="맑은 고딕"/>
        <family val="3"/>
        <charset val="129"/>
      </rPr>
      <t xml:space="preserve">(1701)</t>
    </r>
  </si>
  <si>
    <r>
      <rPr>
        <sz val="11"/>
        <color rgb="FF000000"/>
        <rFont val="Noto Sans CJK SC"/>
        <family val="2"/>
      </rPr>
      <t xml:space="preserve">④동일금액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개이상</t>
    </r>
  </si>
  <si>
    <r>
      <rPr>
        <sz val="11"/>
        <color rgb="FF000000"/>
        <rFont val="맑은 고딕"/>
        <family val="3"/>
        <charset val="129"/>
      </rPr>
      <t xml:space="preserve">80%</t>
    </r>
    <r>
      <rPr>
        <sz val="11"/>
        <color rgb="FF000000"/>
        <rFont val="Noto Sans CJK SC"/>
        <family val="2"/>
      </rPr>
      <t xml:space="preserve">형</t>
    </r>
  </si>
  <si>
    <r>
      <rPr>
        <sz val="11"/>
        <color rgb="FF000000"/>
        <rFont val="Noto Sans CJK SC"/>
        <family val="2"/>
      </rPr>
      <t xml:space="preserve">중대한 암 </t>
    </r>
    <r>
      <rPr>
        <sz val="11"/>
        <color rgb="FF000000"/>
        <rFont val="맑은 고딕"/>
        <family val="3"/>
        <charset val="129"/>
      </rPr>
      <t xml:space="preserve">2,400 · </t>
    </r>
    <r>
      <rPr>
        <sz val="11"/>
        <color rgb="FF000000"/>
        <rFont val="Noto Sans CJK SC"/>
        <family val="2"/>
      </rPr>
      <t xml:space="preserve">중대한 뇌출혈 </t>
    </r>
    <r>
      <rPr>
        <sz val="11"/>
        <color rgb="FF000000"/>
        <rFont val="맑은 고딕"/>
        <family val="3"/>
        <charset val="129"/>
      </rPr>
      <t xml:space="preserve">2,400 · </t>
    </r>
    <r>
      <rPr>
        <sz val="11"/>
        <color rgb="FF000000"/>
        <rFont val="Noto Sans CJK SC"/>
        <family val="2"/>
      </rPr>
      <t xml:space="preserve">중대한 급성심근 </t>
    </r>
    <r>
      <rPr>
        <sz val="11"/>
        <color rgb="FF000000"/>
        <rFont val="맑은 고딕"/>
        <family val="3"/>
        <charset val="129"/>
      </rPr>
      <t xml:space="preserve">2,400</t>
    </r>
  </si>
  <si>
    <r>
      <rPr>
        <sz val="11"/>
        <color rgb="FF000000"/>
        <rFont val="맑은 고딕"/>
        <family val="3"/>
        <charset val="129"/>
      </rPr>
      <t xml:space="preserve">※ CI 4</t>
    </r>
    <r>
      <rPr>
        <sz val="11"/>
        <color rgb="FF000000"/>
        <rFont val="Noto Sans CJK SC"/>
        <family val="2"/>
      </rPr>
      <t xml:space="preserve">단계 체크</t>
    </r>
    <r>
      <rPr>
        <sz val="11"/>
        <color rgb="FF000000"/>
        <rFont val="맑은 고딕"/>
        <family val="3"/>
        <charset val="129"/>
      </rPr>
      <t xml:space="preserve">: ①</t>
    </r>
    <r>
      <rPr>
        <sz val="11"/>
        <color rgb="FF000000"/>
        <rFont val="Noto Sans CJK SC"/>
        <family val="2"/>
      </rPr>
      <t xml:space="preserve">상세 세부내역 ②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별첨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보장현황 ③중대한</t>
    </r>
    <r>
      <rPr>
        <sz val="11"/>
        <color rgb="FF000000"/>
        <rFont val="맑은 고딕"/>
        <family val="3"/>
        <charset val="129"/>
      </rPr>
      <t xml:space="preserve">*** </t>
    </r>
    <r>
      <rPr>
        <sz val="11"/>
        <color rgb="FF000000"/>
        <rFont val="Noto Sans CJK SC"/>
        <family val="2"/>
      </rPr>
      <t xml:space="preserve">유무 ④동일금액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 이상 → 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×2 / 80%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÷0.8 </t>
    </r>
    <r>
      <rPr>
        <sz val="11"/>
        <color rgb="FF000000"/>
        <rFont val="Noto Sans CJK SC"/>
        <family val="2"/>
      </rPr>
      <t xml:space="preserve">이 사망보장금과 맞는지 검증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선지급률은 </t>
    </r>
    <r>
      <rPr>
        <sz val="11"/>
        <color rgb="FF000000"/>
        <rFont val="맑은 고딕"/>
        <family val="3"/>
        <charset val="129"/>
      </rPr>
      <t xml:space="preserve">50%·80% </t>
    </r>
    <r>
      <rPr>
        <sz val="11"/>
        <color rgb="FF000000"/>
        <rFont val="Noto Sans CJK SC"/>
        <family val="2"/>
      </rPr>
      <t xml:space="preserve">두 가지뿐 — 추측 금지</t>
    </r>
    <r>
      <rPr>
        <sz val="11"/>
        <color rgb="FF000000"/>
        <rFont val="맑은 고딕"/>
        <family val="3"/>
        <charset val="129"/>
      </rPr>
      <t xml:space="preserve">.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</si>
  <si>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</si>
  <si>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암진단</t>
  </si>
  <si>
    <t xml:space="preserve">암입원일당</t>
  </si>
  <si>
    <t xml:space="preserve">소액암진단</t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</si>
  <si>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</si>
  <si>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진단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종신암보장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</si>
  <si>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한신평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진단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정액</t>
    </r>
    <r>
      <rPr>
        <sz val="11"/>
        <color rgb="FF000000"/>
        <rFont val="맑은 고딕"/>
        <family val="3"/>
        <charset val="129"/>
      </rPr>
      <t xml:space="preserve">)_</t>
    </r>
    <r>
      <rPr>
        <sz val="11"/>
        <color rgb="FF000000"/>
        <rFont val="Noto Sans CJK SC"/>
        <family val="2"/>
      </rPr>
      <t xml:space="preserve">소액암진단</t>
    </r>
  </si>
  <si>
    <t xml:space="preserve">암입원</t>
  </si>
  <si>
    <t xml:space="preserve">std</t>
  </si>
  <si>
    <t xml:space="preserve">raw</t>
  </si>
  <si>
    <t xml:space="preserve">amt</t>
  </si>
  <si>
    <t xml:space="preserve">뇌혈관질환진단비</t>
  </si>
  <si>
    <t xml:space="preserve">뇌졸중진단비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</si>
</sst>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1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8" min="3" style="1" width="12"/>
    <col collapsed="false" customWidth="true" hidden="false" outlineLevel="0" max="9" min="9" style="1" width="14.5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3" t="s">
        <v>3</v>
      </c>
      <c r="F1" s="5" t="s">
        <v>4</v>
      </c>
      <c r="G1" s="3" t="s">
        <v>5</v>
      </c>
      <c r="H1" s="6" t="s">
        <v>6</v>
      </c>
    </row>
    <row r="2" customFormat="false" ht="16.5" hidden="false" customHeight="true" outlineLevel="0" collapsed="false">
      <c r="A2" s="7" t="s">
        <v>7</v>
      </c>
      <c r="B2" s="7"/>
      <c r="C2" s="8" t="n">
        <v>67096</v>
      </c>
      <c r="D2" s="9" t="n">
        <v>23910</v>
      </c>
      <c r="E2" s="8" t="n">
        <v>115231</v>
      </c>
      <c r="F2" s="8" t="n">
        <v>148576</v>
      </c>
      <c r="G2" s="8" t="n">
        <v>129400</v>
      </c>
      <c r="H2" s="10" t="n">
        <f aca="false">SUM(C2:G2)</f>
        <v>484213</v>
      </c>
    </row>
    <row r="3" customFormat="false" ht="16.5" hidden="false" customHeight="true" outlineLevel="0" collapsed="false">
      <c r="A3" s="11" t="s">
        <v>8</v>
      </c>
      <c r="B3" s="11"/>
      <c r="C3" s="12" t="s">
        <v>9</v>
      </c>
      <c r="D3" s="13" t="s">
        <v>10</v>
      </c>
      <c r="E3" s="12" t="s">
        <v>11</v>
      </c>
      <c r="F3" s="12" t="s">
        <v>9</v>
      </c>
      <c r="G3" s="12" t="s">
        <v>12</v>
      </c>
      <c r="H3" s="14"/>
    </row>
    <row r="4" customFormat="false" ht="16.5" hidden="false" customHeight="true" outlineLevel="0" collapsed="false">
      <c r="A4" s="11" t="s">
        <v>13</v>
      </c>
      <c r="B4" s="11"/>
      <c r="C4" s="12" t="s">
        <v>14</v>
      </c>
      <c r="D4" s="13" t="s">
        <v>15</v>
      </c>
      <c r="E4" s="12" t="s">
        <v>16</v>
      </c>
      <c r="F4" s="12" t="s">
        <v>16</v>
      </c>
      <c r="G4" s="12" t="s">
        <v>16</v>
      </c>
      <c r="H4" s="14"/>
    </row>
    <row r="5" customFormat="false" ht="17.25" hidden="false" customHeight="true" outlineLevel="0" collapsed="false">
      <c r="A5" s="11" t="s">
        <v>17</v>
      </c>
      <c r="B5" s="11"/>
      <c r="C5" s="12" t="s">
        <v>18</v>
      </c>
      <c r="D5" s="13" t="s">
        <v>19</v>
      </c>
      <c r="E5" s="12" t="s">
        <v>20</v>
      </c>
      <c r="F5" s="12" t="s">
        <v>21</v>
      </c>
      <c r="G5" s="12" t="s">
        <v>22</v>
      </c>
      <c r="H5" s="15"/>
    </row>
    <row r="6" customFormat="false" ht="16.5" hidden="false" customHeight="true" outlineLevel="0" collapsed="false">
      <c r="A6" s="16" t="s">
        <v>23</v>
      </c>
      <c r="B6" s="17" t="s">
        <v>24</v>
      </c>
      <c r="C6" s="18"/>
      <c r="D6" s="18"/>
      <c r="E6" s="19" t="n">
        <v>4000</v>
      </c>
      <c r="F6" s="19" t="n">
        <v>3000</v>
      </c>
      <c r="G6" s="20"/>
      <c r="H6" s="21" t="n">
        <f aca="false">SUM(C6:G6)</f>
        <v>7000</v>
      </c>
    </row>
    <row r="7" customFormat="false" ht="17.25" hidden="false" customHeight="true" outlineLevel="0" collapsed="false">
      <c r="A7" s="16"/>
      <c r="B7" s="22" t="s">
        <v>25</v>
      </c>
      <c r="C7" s="23"/>
      <c r="D7" s="23"/>
      <c r="E7" s="24" t="n">
        <v>2000</v>
      </c>
      <c r="F7" s="24" t="n">
        <v>600</v>
      </c>
      <c r="G7" s="23"/>
      <c r="H7" s="25" t="n">
        <f aca="false">SUM(C7:G7)</f>
        <v>2600</v>
      </c>
    </row>
    <row r="8" customFormat="false" ht="17.25" hidden="false" customHeight="true" outlineLevel="0" collapsed="false">
      <c r="A8" s="16"/>
      <c r="B8" s="26" t="s">
        <v>26</v>
      </c>
      <c r="C8" s="24" t="n">
        <v>1000</v>
      </c>
      <c r="D8" s="23"/>
      <c r="E8" s="24" t="n">
        <v>6000</v>
      </c>
      <c r="F8" s="24" t="n">
        <v>2000</v>
      </c>
      <c r="G8" s="24" t="n">
        <v>6000</v>
      </c>
      <c r="H8" s="25" t="n">
        <f aca="false">SUM(C8:G8)</f>
        <v>15000</v>
      </c>
    </row>
    <row r="9" customFormat="false" ht="16.5" hidden="false" customHeight="true" outlineLevel="0" collapsed="false">
      <c r="A9" s="16"/>
      <c r="B9" s="26" t="s">
        <v>27</v>
      </c>
      <c r="C9" s="23"/>
      <c r="D9" s="23"/>
      <c r="E9" s="23"/>
      <c r="F9" s="23"/>
      <c r="G9" s="23"/>
      <c r="H9" s="25" t="n">
        <f aca="false">SUM(C9:G9)</f>
        <v>0</v>
      </c>
    </row>
    <row r="10" customFormat="false" ht="17.25" hidden="false" customHeight="true" outlineLevel="0" collapsed="false">
      <c r="A10" s="16"/>
      <c r="B10" s="27" t="s">
        <v>28</v>
      </c>
      <c r="C10" s="8" t="n">
        <v>100</v>
      </c>
      <c r="D10" s="9" t="n">
        <v>2000</v>
      </c>
      <c r="E10" s="8" t="n">
        <v>10000</v>
      </c>
      <c r="F10" s="8" t="n">
        <v>5000</v>
      </c>
      <c r="G10" s="8" t="n">
        <v>6000</v>
      </c>
      <c r="H10" s="10" t="n">
        <f aca="false">SUM(C10:G10)</f>
        <v>23100</v>
      </c>
    </row>
    <row r="11" customFormat="false" ht="16.5" hidden="false" customHeight="true" outlineLevel="0" collapsed="false">
      <c r="A11" s="28" t="s">
        <v>29</v>
      </c>
      <c r="B11" s="26" t="s">
        <v>30</v>
      </c>
      <c r="C11" s="23"/>
      <c r="D11" s="29" t="n">
        <v>2000</v>
      </c>
      <c r="E11" s="24" t="n">
        <v>10000</v>
      </c>
      <c r="F11" s="23"/>
      <c r="G11" s="24" t="n">
        <v>6000</v>
      </c>
      <c r="H11" s="25" t="n">
        <f aca="false">SUM(C11:G11)</f>
        <v>18000</v>
      </c>
    </row>
    <row r="12" customFormat="false" ht="16.5" hidden="false" customHeight="true" outlineLevel="0" collapsed="false">
      <c r="A12" s="28"/>
      <c r="B12" s="26" t="s">
        <v>31</v>
      </c>
      <c r="C12" s="24" t="n">
        <v>100</v>
      </c>
      <c r="D12" s="23"/>
      <c r="E12" s="23"/>
      <c r="F12" s="23"/>
      <c r="G12" s="23"/>
      <c r="H12" s="25" t="n">
        <f aca="false">SUM(C12:G12)</f>
        <v>100</v>
      </c>
    </row>
    <row r="13" customFormat="false" ht="16.5" hidden="false" customHeight="true" outlineLevel="0" collapsed="false">
      <c r="A13" s="28"/>
      <c r="B13" s="26" t="s">
        <v>32</v>
      </c>
      <c r="C13" s="24" t="n">
        <v>2000</v>
      </c>
      <c r="D13" s="23"/>
      <c r="E13" s="23"/>
      <c r="F13" s="23"/>
      <c r="G13" s="23"/>
      <c r="H13" s="25" t="n">
        <f aca="false">SUM(C13:G13)</f>
        <v>2000</v>
      </c>
    </row>
    <row r="14" customFormat="false" ht="17.25" hidden="false" customHeight="true" outlineLevel="0" collapsed="false">
      <c r="A14" s="28"/>
      <c r="B14" s="27" t="s">
        <v>33</v>
      </c>
      <c r="C14" s="8" t="n">
        <v>100</v>
      </c>
      <c r="D14" s="30"/>
      <c r="E14" s="30"/>
      <c r="F14" s="30"/>
      <c r="G14" s="30"/>
      <c r="H14" s="10" t="n">
        <f aca="false">SUM(C14:G14)</f>
        <v>100</v>
      </c>
    </row>
    <row r="15" customFormat="false" ht="17.25" hidden="false" customHeight="true" outlineLevel="0" collapsed="false">
      <c r="A15" s="28" t="s">
        <v>34</v>
      </c>
      <c r="B15" s="26" t="s">
        <v>35</v>
      </c>
      <c r="C15" s="23"/>
      <c r="D15" s="23"/>
      <c r="E15" s="23"/>
      <c r="F15" s="23"/>
      <c r="G15" s="23"/>
      <c r="H15" s="25" t="n">
        <f aca="false">SUM(C15:G15)</f>
        <v>0</v>
      </c>
    </row>
    <row r="16" customFormat="false" ht="16.5" hidden="false" customHeight="true" outlineLevel="0" collapsed="false">
      <c r="A16" s="28"/>
      <c r="B16" s="22" t="s">
        <v>36</v>
      </c>
      <c r="C16" s="23"/>
      <c r="D16" s="23"/>
      <c r="E16" s="23"/>
      <c r="F16" s="24" t="n">
        <v>3000</v>
      </c>
      <c r="G16" s="24" t="n">
        <v>2000</v>
      </c>
      <c r="H16" s="25" t="n">
        <f aca="false">SUM(C16:G16)</f>
        <v>5000</v>
      </c>
    </row>
    <row r="17" customFormat="false" ht="17.25" hidden="false" customHeight="true" outlineLevel="0" collapsed="false">
      <c r="A17" s="28"/>
      <c r="B17" s="22" t="s">
        <v>37</v>
      </c>
      <c r="C17" s="23"/>
      <c r="D17" s="23"/>
      <c r="E17" s="24" t="n">
        <v>2000</v>
      </c>
      <c r="F17" s="24" t="n">
        <v>2400</v>
      </c>
      <c r="G17" s="23"/>
      <c r="H17" s="25" t="n">
        <f aca="false">SUM(C17:G17)</f>
        <v>4400</v>
      </c>
    </row>
    <row r="18" customFormat="false" ht="16.5" hidden="false" customHeight="true" outlineLevel="0" collapsed="false">
      <c r="A18" s="28"/>
      <c r="B18" s="26" t="s">
        <v>38</v>
      </c>
      <c r="C18" s="23"/>
      <c r="D18" s="23"/>
      <c r="E18" s="23"/>
      <c r="F18" s="24" t="n">
        <v>400</v>
      </c>
      <c r="G18" s="24" t="n">
        <v>200</v>
      </c>
      <c r="H18" s="25" t="n">
        <f aca="false">SUM(C18:G18)</f>
        <v>600</v>
      </c>
    </row>
    <row r="19" customFormat="false" ht="16.5" hidden="false" customHeight="true" outlineLevel="0" collapsed="false">
      <c r="A19" s="28"/>
      <c r="B19" s="26" t="s">
        <v>39</v>
      </c>
      <c r="C19" s="23"/>
      <c r="D19" s="23"/>
      <c r="E19" s="23"/>
      <c r="F19" s="23"/>
      <c r="G19" s="23"/>
      <c r="H19" s="25" t="n">
        <f aca="false">SUM(C19:G19)</f>
        <v>0</v>
      </c>
    </row>
    <row r="20" customFormat="false" ht="16.5" hidden="false" customHeight="true" outlineLevel="0" collapsed="false">
      <c r="A20" s="28"/>
      <c r="B20" s="26" t="s">
        <v>40</v>
      </c>
      <c r="C20" s="31"/>
      <c r="D20" s="31"/>
      <c r="E20" s="31"/>
      <c r="F20" s="31"/>
      <c r="G20" s="31"/>
      <c r="H20" s="25" t="n">
        <f aca="false">SUM(C20:G20)</f>
        <v>0</v>
      </c>
    </row>
    <row r="21" customFormat="false" ht="16.5" hidden="false" customHeight="true" outlineLevel="0" collapsed="false">
      <c r="A21" s="28"/>
      <c r="B21" s="26" t="s">
        <v>41</v>
      </c>
      <c r="C21" s="23"/>
      <c r="D21" s="23"/>
      <c r="E21" s="23"/>
      <c r="F21" s="23"/>
      <c r="G21" s="23"/>
      <c r="H21" s="25" t="n">
        <f aca="false">SUM(C21:G21)</f>
        <v>0</v>
      </c>
    </row>
    <row r="22" customFormat="false" ht="16.5" hidden="false" customHeight="true" outlineLevel="0" collapsed="false">
      <c r="A22" s="28"/>
      <c r="B22" s="26" t="s">
        <v>42</v>
      </c>
      <c r="C22" s="31"/>
      <c r="D22" s="31"/>
      <c r="E22" s="31"/>
      <c r="F22" s="31"/>
      <c r="G22" s="31"/>
      <c r="H22" s="25" t="n">
        <f aca="false">IF(COUNT(C22:G22)=0,0,MAX(C22:G22))</f>
        <v>0</v>
      </c>
    </row>
    <row r="23" customFormat="false" ht="16.5" hidden="false" customHeight="true" outlineLevel="0" collapsed="false">
      <c r="A23" s="28"/>
      <c r="B23" s="26" t="s">
        <v>43</v>
      </c>
      <c r="C23" s="31"/>
      <c r="D23" s="31"/>
      <c r="E23" s="31"/>
      <c r="F23" s="31"/>
      <c r="G23" s="31"/>
      <c r="H23" s="25" t="n">
        <f aca="false">SUM(C23:G23)</f>
        <v>0</v>
      </c>
    </row>
    <row r="24" customFormat="false" ht="16.5" hidden="false" customHeight="true" outlineLevel="0" collapsed="false">
      <c r="A24" s="28"/>
      <c r="B24" s="26" t="s">
        <v>44</v>
      </c>
      <c r="C24" s="31"/>
      <c r="D24" s="31"/>
      <c r="E24" s="31"/>
      <c r="F24" s="31"/>
      <c r="G24" s="31"/>
      <c r="H24" s="25" t="n">
        <f aca="false">SUM(C24:G24)</f>
        <v>0</v>
      </c>
    </row>
    <row r="25" customFormat="false" ht="16.5" hidden="false" customHeight="true" outlineLevel="0" collapsed="false">
      <c r="A25" s="28"/>
      <c r="B25" s="26" t="s">
        <v>45</v>
      </c>
      <c r="C25" s="31"/>
      <c r="D25" s="31"/>
      <c r="E25" s="31"/>
      <c r="F25" s="31"/>
      <c r="G25" s="31"/>
      <c r="H25" s="25" t="n">
        <f aca="false">SUM(C25:G25)</f>
        <v>0</v>
      </c>
    </row>
    <row r="26" customFormat="false" ht="16.5" hidden="false" customHeight="true" outlineLevel="0" collapsed="false">
      <c r="A26" s="28"/>
      <c r="B26" s="26" t="s">
        <v>46</v>
      </c>
      <c r="C26" s="31"/>
      <c r="D26" s="31"/>
      <c r="E26" s="31"/>
      <c r="F26" s="31"/>
      <c r="G26" s="31"/>
      <c r="H26" s="25" t="n">
        <f aca="false">SUM(C26:G26)</f>
        <v>0</v>
      </c>
    </row>
    <row r="27" customFormat="false" ht="16.5" hidden="false" customHeight="true" outlineLevel="0" collapsed="false">
      <c r="A27" s="28"/>
      <c r="B27" s="26" t="s">
        <v>47</v>
      </c>
      <c r="C27" s="23"/>
      <c r="D27" s="23"/>
      <c r="E27" s="24" t="n">
        <v>200</v>
      </c>
      <c r="F27" s="24" t="n">
        <v>200</v>
      </c>
      <c r="G27" s="24" t="n">
        <v>400</v>
      </c>
      <c r="H27" s="25" t="n">
        <f aca="false">SUM(C27:G27)</f>
        <v>800</v>
      </c>
    </row>
    <row r="28" customFormat="false" ht="17.25" hidden="false" customHeight="true" outlineLevel="0" collapsed="false">
      <c r="A28" s="28"/>
      <c r="B28" s="26" t="s">
        <v>48</v>
      </c>
      <c r="C28" s="23"/>
      <c r="D28" s="23"/>
      <c r="E28" s="24" t="n">
        <v>10</v>
      </c>
      <c r="F28" s="24" t="n">
        <v>5</v>
      </c>
      <c r="G28" s="24" t="n">
        <v>20</v>
      </c>
      <c r="H28" s="25" t="n">
        <f aca="false">SUM(C28:G28)</f>
        <v>35</v>
      </c>
    </row>
    <row r="29" customFormat="false" ht="17.25" hidden="false" customHeight="true" outlineLevel="0" collapsed="false">
      <c r="A29" s="28"/>
      <c r="B29" s="27" t="s">
        <v>49</v>
      </c>
      <c r="C29" s="30"/>
      <c r="D29" s="30"/>
      <c r="E29" s="30"/>
      <c r="F29" s="30"/>
      <c r="G29" s="30"/>
      <c r="H29" s="10" t="n">
        <f aca="false">SUM(C29:G29)</f>
        <v>0</v>
      </c>
    </row>
    <row r="30" customFormat="false" ht="16.5" hidden="false" customHeight="true" outlineLevel="0" collapsed="false">
      <c r="A30" s="28" t="s">
        <v>50</v>
      </c>
      <c r="B30" s="26" t="s">
        <v>51</v>
      </c>
      <c r="C30" s="24" t="n">
        <v>1000</v>
      </c>
      <c r="D30" s="23"/>
      <c r="E30" s="23"/>
      <c r="F30" s="23"/>
      <c r="G30" s="23"/>
      <c r="H30" s="25" t="n">
        <f aca="false">SUM(C30:G30)</f>
        <v>1000</v>
      </c>
    </row>
    <row r="31" customFormat="false" ht="17.25" hidden="false" customHeight="true" outlineLevel="0" collapsed="false">
      <c r="A31" s="28"/>
      <c r="B31" s="22" t="s">
        <v>52</v>
      </c>
      <c r="C31" s="24" t="n">
        <v>3000</v>
      </c>
      <c r="D31" s="23"/>
      <c r="E31" s="23"/>
      <c r="F31" s="24" t="n">
        <v>1000</v>
      </c>
      <c r="G31" s="23"/>
      <c r="H31" s="25" t="n">
        <f aca="false">SUM(C31:G31)</f>
        <v>4000</v>
      </c>
    </row>
    <row r="32" customFormat="false" ht="16.5" hidden="false" customHeight="true" outlineLevel="0" collapsed="false">
      <c r="A32" s="28"/>
      <c r="B32" s="22" t="s">
        <v>53</v>
      </c>
      <c r="C32" s="23"/>
      <c r="D32" s="23"/>
      <c r="E32" s="23"/>
      <c r="F32" s="32"/>
      <c r="G32" s="23"/>
      <c r="H32" s="25" t="n">
        <f aca="false">SUM(C32:G32)</f>
        <v>0</v>
      </c>
    </row>
    <row r="33" customFormat="false" ht="16.5" hidden="false" customHeight="true" outlineLevel="0" collapsed="false">
      <c r="A33" s="28"/>
      <c r="B33" s="26" t="s">
        <v>54</v>
      </c>
      <c r="C33" s="23"/>
      <c r="D33" s="23"/>
      <c r="E33" s="24" t="n">
        <v>4000</v>
      </c>
      <c r="F33" s="24" t="n">
        <v>2000</v>
      </c>
      <c r="G33" s="24" t="n">
        <v>2000</v>
      </c>
      <c r="H33" s="25" t="n">
        <f aca="false">SUM(C33:G33)</f>
        <v>8000</v>
      </c>
    </row>
    <row r="34" customFormat="false" ht="16.5" hidden="false" customHeight="true" outlineLevel="0" collapsed="false">
      <c r="A34" s="28"/>
      <c r="B34" s="26" t="s">
        <v>55</v>
      </c>
      <c r="C34" s="23"/>
      <c r="D34" s="23"/>
      <c r="E34" s="24" t="n">
        <v>2000</v>
      </c>
      <c r="F34" s="24" t="n">
        <v>2400</v>
      </c>
      <c r="G34" s="23"/>
      <c r="H34" s="25" t="n">
        <f aca="false">SUM(C34:G34)</f>
        <v>4400</v>
      </c>
    </row>
    <row r="35" customFormat="false" ht="16.5" hidden="false" customHeight="true" outlineLevel="0" collapsed="false">
      <c r="A35" s="28"/>
      <c r="B35" s="26" t="s">
        <v>56</v>
      </c>
      <c r="C35" s="23"/>
      <c r="D35" s="23"/>
      <c r="E35" s="23"/>
      <c r="F35" s="23"/>
      <c r="G35" s="23"/>
      <c r="H35" s="25" t="n">
        <f aca="false">SUM(C35:G35)</f>
        <v>0</v>
      </c>
    </row>
    <row r="36" customFormat="false" ht="16.5" hidden="false" customHeight="true" outlineLevel="0" collapsed="false">
      <c r="A36" s="28"/>
      <c r="B36" s="26" t="s">
        <v>57</v>
      </c>
      <c r="C36" s="23"/>
      <c r="D36" s="23"/>
      <c r="E36" s="23"/>
      <c r="F36" s="23"/>
      <c r="G36" s="23"/>
      <c r="H36" s="25" t="n">
        <f aca="false">SUM(C36:G36)</f>
        <v>0</v>
      </c>
    </row>
    <row r="37" customFormat="false" ht="16.5" hidden="false" customHeight="true" outlineLevel="0" collapsed="false">
      <c r="A37" s="28"/>
      <c r="B37" s="26" t="s">
        <v>58</v>
      </c>
      <c r="C37" s="23"/>
      <c r="D37" s="23"/>
      <c r="E37" s="23"/>
      <c r="F37" s="23"/>
      <c r="G37" s="23"/>
      <c r="H37" s="25" t="n">
        <f aca="false">SUM(C37:G37)</f>
        <v>0</v>
      </c>
    </row>
    <row r="38" customFormat="false" ht="16.5" hidden="false" customHeight="true" outlineLevel="0" collapsed="false">
      <c r="A38" s="28"/>
      <c r="B38" s="27" t="s">
        <v>59</v>
      </c>
      <c r="C38" s="30"/>
      <c r="D38" s="30"/>
      <c r="E38" s="30"/>
      <c r="F38" s="30"/>
      <c r="G38" s="30"/>
      <c r="H38" s="10" t="n">
        <f aca="false">SUM(C38:G38)</f>
        <v>0</v>
      </c>
    </row>
    <row r="39" customFormat="false" ht="16.5" hidden="false" customHeight="true" outlineLevel="0" collapsed="false">
      <c r="A39" s="28" t="s">
        <v>60</v>
      </c>
      <c r="B39" s="26" t="s">
        <v>61</v>
      </c>
      <c r="C39" s="23"/>
      <c r="D39" s="23"/>
      <c r="E39" s="23"/>
      <c r="F39" s="23"/>
      <c r="G39" s="23"/>
      <c r="H39" s="25" t="n">
        <f aca="false">SUM(C39:G39)</f>
        <v>0</v>
      </c>
    </row>
    <row r="40" customFormat="false" ht="16.5" hidden="false" customHeight="true" outlineLevel="0" collapsed="false">
      <c r="A40" s="28"/>
      <c r="B40" s="26" t="s">
        <v>62</v>
      </c>
      <c r="C40" s="23"/>
      <c r="D40" s="23"/>
      <c r="E40" s="23"/>
      <c r="F40" s="23"/>
      <c r="G40" s="23"/>
      <c r="H40" s="25" t="n">
        <f aca="false">SUM(C40:G40)</f>
        <v>0</v>
      </c>
    </row>
    <row r="41" customFormat="false" ht="17.25" hidden="false" customHeight="true" outlineLevel="0" collapsed="false">
      <c r="A41" s="28"/>
      <c r="B41" s="26" t="s">
        <v>63</v>
      </c>
      <c r="C41" s="23"/>
      <c r="D41" s="23"/>
      <c r="E41" s="23"/>
      <c r="F41" s="23"/>
      <c r="G41" s="23"/>
      <c r="H41" s="25" t="n">
        <f aca="false">SUM(C41:G41)</f>
        <v>0</v>
      </c>
    </row>
    <row r="42" customFormat="false" ht="16.5" hidden="false" customHeight="true" outlineLevel="0" collapsed="false">
      <c r="A42" s="28"/>
      <c r="B42" s="26" t="s">
        <v>64</v>
      </c>
      <c r="C42" s="23"/>
      <c r="D42" s="23"/>
      <c r="E42" s="23"/>
      <c r="F42" s="23"/>
      <c r="G42" s="23"/>
      <c r="H42" s="25" t="n">
        <f aca="false">SUM(C42:G42)</f>
        <v>0</v>
      </c>
    </row>
    <row r="43" customFormat="false" ht="16.5" hidden="false" customHeight="true" outlineLevel="0" collapsed="false">
      <c r="A43" s="28"/>
      <c r="B43" s="26" t="s">
        <v>65</v>
      </c>
      <c r="C43" s="23"/>
      <c r="D43" s="23"/>
      <c r="E43" s="23"/>
      <c r="F43" s="23"/>
      <c r="G43" s="23"/>
      <c r="H43" s="25" t="n">
        <f aca="false">SUM(C43:G43)</f>
        <v>0</v>
      </c>
    </row>
    <row r="44" customFormat="false" ht="17.25" hidden="false" customHeight="true" outlineLevel="0" collapsed="false">
      <c r="A44" s="28"/>
      <c r="B44" s="26" t="s">
        <v>66</v>
      </c>
      <c r="C44" s="33"/>
      <c r="D44" s="33"/>
      <c r="E44" s="33"/>
      <c r="F44" s="33"/>
      <c r="G44" s="33"/>
      <c r="H44" s="34" t="n">
        <f aca="false">SUM(C44:G44)</f>
        <v>0</v>
      </c>
    </row>
    <row r="45" customFormat="false" ht="17.25" hidden="false" customHeight="true" outlineLevel="0" collapsed="false">
      <c r="A45" s="28"/>
      <c r="B45" s="26" t="s">
        <v>67</v>
      </c>
      <c r="C45" s="33"/>
      <c r="D45" s="33"/>
      <c r="E45" s="33"/>
      <c r="F45" s="33"/>
      <c r="G45" s="33"/>
      <c r="H45" s="34" t="n">
        <f aca="false">SUM(C45:G45)</f>
        <v>0</v>
      </c>
    </row>
    <row r="46" customFormat="false" ht="16.5" hidden="false" customHeight="true" outlineLevel="0" collapsed="false">
      <c r="A46" s="28"/>
      <c r="B46" s="26" t="s">
        <v>68</v>
      </c>
      <c r="C46" s="23"/>
      <c r="D46" s="23"/>
      <c r="E46" s="23"/>
      <c r="F46" s="23"/>
      <c r="G46" s="23"/>
      <c r="H46" s="25" t="n">
        <f aca="false">SUM(C46:G46)</f>
        <v>0</v>
      </c>
    </row>
    <row r="47" customFormat="false" ht="16.5" hidden="false" customHeight="true" outlineLevel="0" collapsed="false">
      <c r="A47" s="28"/>
      <c r="B47" s="35" t="s">
        <v>69</v>
      </c>
      <c r="C47" s="23"/>
      <c r="D47" s="23"/>
      <c r="E47" s="23"/>
      <c r="F47" s="23"/>
      <c r="G47" s="23"/>
      <c r="H47" s="25" t="n">
        <f aca="false">SUM(C47:G47)</f>
        <v>0</v>
      </c>
    </row>
    <row r="48" customFormat="false" ht="16.5" hidden="false" customHeight="true" outlineLevel="0" collapsed="false">
      <c r="A48" s="28"/>
      <c r="B48" s="36" t="s">
        <v>70</v>
      </c>
      <c r="C48" s="24" t="n">
        <v>1000</v>
      </c>
      <c r="D48" s="23"/>
      <c r="E48" s="23"/>
      <c r="F48" s="23"/>
      <c r="G48" s="23"/>
      <c r="H48" s="25" t="n">
        <f aca="false">SUM(C48:G48)</f>
        <v>1000</v>
      </c>
    </row>
    <row r="49" customFormat="false" ht="16.5" hidden="false" customHeight="true" outlineLevel="0" collapsed="false">
      <c r="A49" s="28"/>
      <c r="B49" s="22" t="s">
        <v>71</v>
      </c>
      <c r="C49" s="24" t="n">
        <v>3000</v>
      </c>
      <c r="D49" s="23"/>
      <c r="E49" s="24" t="n">
        <v>4000</v>
      </c>
      <c r="F49" s="23"/>
      <c r="G49" s="24" t="n">
        <v>2000</v>
      </c>
      <c r="H49" s="25" t="n">
        <f aca="false">SUM(C49:G49)</f>
        <v>9000</v>
      </c>
    </row>
    <row r="50" customFormat="false" ht="16.5" hidden="false" customHeight="true" outlineLevel="0" collapsed="false">
      <c r="A50" s="28"/>
      <c r="B50" s="22" t="s">
        <v>72</v>
      </c>
      <c r="C50" s="23"/>
      <c r="D50" s="23"/>
      <c r="E50" s="24" t="n">
        <v>2000</v>
      </c>
      <c r="F50" s="24" t="n">
        <v>2400</v>
      </c>
      <c r="G50" s="23"/>
      <c r="H50" s="25" t="n">
        <f aca="false">SUM(C50:G50)</f>
        <v>4400</v>
      </c>
    </row>
    <row r="51" customFormat="false" ht="16.5" hidden="false" customHeight="true" outlineLevel="0" collapsed="false">
      <c r="A51" s="28"/>
      <c r="B51" s="27" t="s">
        <v>59</v>
      </c>
      <c r="C51" s="30"/>
      <c r="D51" s="30"/>
      <c r="E51" s="30"/>
      <c r="F51" s="30"/>
      <c r="G51" s="30"/>
      <c r="H51" s="10" t="n">
        <f aca="false">SUM(C51:G51)</f>
        <v>0</v>
      </c>
    </row>
    <row r="52" customFormat="false" ht="16.5" hidden="false" customHeight="true" outlineLevel="0" collapsed="false">
      <c r="A52" s="28" t="s">
        <v>73</v>
      </c>
      <c r="B52" s="26" t="s">
        <v>74</v>
      </c>
      <c r="C52" s="23"/>
      <c r="D52" s="23"/>
      <c r="E52" s="24" t="n">
        <v>10</v>
      </c>
      <c r="F52" s="23"/>
      <c r="G52" s="24" t="n">
        <v>3</v>
      </c>
      <c r="H52" s="25" t="n">
        <f aca="false">SUM(C52:G52)</f>
        <v>13</v>
      </c>
    </row>
    <row r="53" customFormat="false" ht="16.5" hidden="false" customHeight="true" outlineLevel="0" collapsed="false">
      <c r="A53" s="28"/>
      <c r="B53" s="26" t="s">
        <v>75</v>
      </c>
      <c r="C53" s="23"/>
      <c r="D53" s="23"/>
      <c r="E53" s="23"/>
      <c r="F53" s="23"/>
      <c r="G53" s="23"/>
      <c r="H53" s="25" t="n">
        <f aca="false">SUM(C53:G53)</f>
        <v>0</v>
      </c>
    </row>
    <row r="54" customFormat="false" ht="16.5" hidden="false" customHeight="true" outlineLevel="0" collapsed="false">
      <c r="A54" s="28"/>
      <c r="B54" s="26" t="s">
        <v>76</v>
      </c>
      <c r="C54" s="23"/>
      <c r="D54" s="23"/>
      <c r="E54" s="23"/>
      <c r="F54" s="23"/>
      <c r="G54" s="23"/>
      <c r="H54" s="25" t="n">
        <f aca="false">SUM(C54:G54)</f>
        <v>0</v>
      </c>
    </row>
    <row r="55" customFormat="false" ht="16.5" hidden="false" customHeight="true" outlineLevel="0" collapsed="false">
      <c r="A55" s="28"/>
      <c r="B55" s="26" t="s">
        <v>77</v>
      </c>
      <c r="C55" s="23"/>
      <c r="D55" s="23"/>
      <c r="E55" s="23"/>
      <c r="F55" s="23"/>
      <c r="G55" s="23"/>
      <c r="H55" s="25" t="n">
        <f aca="false">SUM(C55:G55)</f>
        <v>0</v>
      </c>
    </row>
    <row r="56" customFormat="false" ht="16.5" hidden="false" customHeight="true" outlineLevel="0" collapsed="false">
      <c r="A56" s="28"/>
      <c r="B56" s="26" t="s">
        <v>78</v>
      </c>
      <c r="C56" s="23"/>
      <c r="D56" s="23"/>
      <c r="E56" s="24" t="n">
        <v>10</v>
      </c>
      <c r="F56" s="23"/>
      <c r="G56" s="24" t="n">
        <v>3</v>
      </c>
      <c r="H56" s="25" t="n">
        <f aca="false">SUM(C56:G56)</f>
        <v>13</v>
      </c>
    </row>
    <row r="57" customFormat="false" ht="16.5" hidden="false" customHeight="true" outlineLevel="0" collapsed="false">
      <c r="A57" s="28"/>
      <c r="B57" s="26" t="s">
        <v>79</v>
      </c>
      <c r="C57" s="23"/>
      <c r="D57" s="23"/>
      <c r="E57" s="23"/>
      <c r="F57" s="23"/>
      <c r="G57" s="23"/>
      <c r="H57" s="25" t="n">
        <f aca="false">SUM(C57:G57)</f>
        <v>0</v>
      </c>
    </row>
    <row r="58" customFormat="false" ht="16.5" hidden="false" customHeight="true" outlineLevel="0" collapsed="false">
      <c r="A58" s="28"/>
      <c r="B58" s="26" t="s">
        <v>80</v>
      </c>
      <c r="C58" s="23"/>
      <c r="D58" s="23"/>
      <c r="E58" s="23"/>
      <c r="F58" s="23"/>
      <c r="G58" s="23"/>
      <c r="H58" s="25" t="n">
        <f aca="false">IF(COUNT(C58:G58)=0,0,MAX(C58:G58))</f>
        <v>0</v>
      </c>
    </row>
    <row r="59" customFormat="false" ht="16.5" hidden="false" customHeight="true" outlineLevel="0" collapsed="false">
      <c r="A59" s="28"/>
      <c r="B59" s="26" t="s">
        <v>81</v>
      </c>
      <c r="C59" s="23"/>
      <c r="D59" s="23"/>
      <c r="E59" s="23"/>
      <c r="F59" s="23"/>
      <c r="G59" s="23"/>
      <c r="H59" s="25" t="n">
        <f aca="false">SUM(C59:G59)</f>
        <v>0</v>
      </c>
    </row>
    <row r="60" customFormat="false" ht="16.5" hidden="false" customHeight="true" outlineLevel="0" collapsed="false">
      <c r="A60" s="28"/>
      <c r="B60" s="26" t="s">
        <v>82</v>
      </c>
      <c r="C60" s="23"/>
      <c r="D60" s="23"/>
      <c r="E60" s="23"/>
      <c r="F60" s="23"/>
      <c r="G60" s="23"/>
      <c r="H60" s="25" t="n">
        <f aca="false">IF(COUNT(C60:G60)=0,0,MAX(C60:G60))</f>
        <v>0</v>
      </c>
    </row>
    <row r="61" customFormat="false" ht="16.5" hidden="false" customHeight="true" outlineLevel="0" collapsed="false">
      <c r="A61" s="28"/>
      <c r="B61" s="35" t="s">
        <v>83</v>
      </c>
      <c r="C61" s="23"/>
      <c r="D61" s="23"/>
      <c r="E61" s="23"/>
      <c r="F61" s="23"/>
      <c r="G61" s="23"/>
      <c r="H61" s="25" t="n">
        <f aca="false">SUM(C61:G61)</f>
        <v>0</v>
      </c>
    </row>
    <row r="62" customFormat="false" ht="17.25" hidden="false" customHeight="true" outlineLevel="0" collapsed="false">
      <c r="A62" s="28"/>
      <c r="B62" s="35" t="s">
        <v>84</v>
      </c>
      <c r="C62" s="23"/>
      <c r="D62" s="23"/>
      <c r="E62" s="23"/>
      <c r="F62" s="23"/>
      <c r="G62" s="23"/>
      <c r="H62" s="25" t="n">
        <f aca="false">SUM(C62:G62)</f>
        <v>0</v>
      </c>
    </row>
    <row r="63" customFormat="false" ht="17.25" hidden="false" customHeight="true" outlineLevel="0" collapsed="false">
      <c r="A63" s="28"/>
      <c r="B63" s="26" t="s">
        <v>85</v>
      </c>
      <c r="C63" s="23"/>
      <c r="D63" s="23"/>
      <c r="E63" s="23"/>
      <c r="F63" s="24" t="n">
        <v>1</v>
      </c>
      <c r="G63" s="23"/>
      <c r="H63" s="25" t="n">
        <f aca="false">SUM(C63:G63)</f>
        <v>1</v>
      </c>
    </row>
    <row r="64" customFormat="false" ht="16.5" hidden="false" customHeight="true" outlineLevel="0" collapsed="false">
      <c r="A64" s="28"/>
      <c r="B64" s="27" t="s">
        <v>86</v>
      </c>
      <c r="C64" s="30"/>
      <c r="D64" s="30"/>
      <c r="E64" s="30"/>
      <c r="F64" s="8" t="n">
        <v>1</v>
      </c>
      <c r="G64" s="30"/>
      <c r="H64" s="10" t="n">
        <f aca="false">SUM(C64:G64)</f>
        <v>1</v>
      </c>
    </row>
    <row r="65" customFormat="false" ht="16.5" hidden="false" customHeight="true" outlineLevel="0" collapsed="false">
      <c r="A65" s="28" t="s">
        <v>87</v>
      </c>
      <c r="B65" s="26" t="s">
        <v>88</v>
      </c>
      <c r="C65" s="23"/>
      <c r="D65" s="29" t="n">
        <v>100</v>
      </c>
      <c r="E65" s="23"/>
      <c r="F65" s="23"/>
      <c r="G65" s="23"/>
      <c r="H65" s="25" t="n">
        <f aca="false">SUM(C65:G65)</f>
        <v>100</v>
      </c>
    </row>
    <row r="66" customFormat="false" ht="16.5" hidden="false" customHeight="true" outlineLevel="0" collapsed="false">
      <c r="A66" s="28"/>
      <c r="B66" s="26" t="s">
        <v>89</v>
      </c>
      <c r="C66" s="23"/>
      <c r="D66" s="23"/>
      <c r="E66" s="23"/>
      <c r="F66" s="23"/>
      <c r="G66" s="23"/>
      <c r="H66" s="25" t="n">
        <f aca="false">SUM(C66:G66)</f>
        <v>0</v>
      </c>
    </row>
    <row r="67" customFormat="false" ht="16.5" hidden="false" customHeight="true" outlineLevel="0" collapsed="false">
      <c r="A67" s="28"/>
      <c r="B67" s="26" t="s">
        <v>90</v>
      </c>
      <c r="C67" s="23"/>
      <c r="D67" s="37" t="s">
        <v>91</v>
      </c>
      <c r="E67" s="23"/>
      <c r="F67" s="31"/>
      <c r="G67" s="23"/>
      <c r="H67" s="38" t="s">
        <v>91</v>
      </c>
    </row>
    <row r="68" customFormat="false" ht="17.25" hidden="false" customHeight="true" outlineLevel="0" collapsed="false">
      <c r="A68" s="28"/>
      <c r="B68" s="26" t="s">
        <v>92</v>
      </c>
      <c r="C68" s="23"/>
      <c r="D68" s="23"/>
      <c r="E68" s="23"/>
      <c r="F68" s="31"/>
      <c r="G68" s="23"/>
      <c r="H68" s="25" t="n">
        <f aca="false">SUM(C68:G68)</f>
        <v>0</v>
      </c>
    </row>
    <row r="69" customFormat="false" ht="16.5" hidden="false" customHeight="true" outlineLevel="0" collapsed="false">
      <c r="A69" s="28"/>
      <c r="B69" s="26" t="s">
        <v>93</v>
      </c>
      <c r="C69" s="23"/>
      <c r="D69" s="23"/>
      <c r="E69" s="23"/>
      <c r="F69" s="23"/>
      <c r="G69" s="23"/>
      <c r="H69" s="25" t="n">
        <f aca="false">SUM(C69:G69)</f>
        <v>0</v>
      </c>
    </row>
    <row r="70" customFormat="false" ht="16.5" hidden="false" customHeight="true" outlineLevel="0" collapsed="false">
      <c r="A70" s="28"/>
      <c r="B70" s="26" t="s">
        <v>94</v>
      </c>
      <c r="C70" s="23"/>
      <c r="D70" s="23"/>
      <c r="E70" s="23"/>
      <c r="F70" s="23"/>
      <c r="G70" s="23"/>
      <c r="H70" s="25" t="n">
        <f aca="false">SUM(C70:G70)</f>
        <v>0</v>
      </c>
    </row>
    <row r="71" customFormat="false" ht="16.5" hidden="false" customHeight="true" outlineLevel="0" collapsed="false">
      <c r="A71" s="28"/>
      <c r="B71" s="35" t="s">
        <v>95</v>
      </c>
      <c r="C71" s="23"/>
      <c r="D71" s="23"/>
      <c r="E71" s="23"/>
      <c r="F71" s="23"/>
      <c r="G71" s="23"/>
      <c r="H71" s="25" t="n">
        <f aca="false">SUM(C71:G71)</f>
        <v>0</v>
      </c>
    </row>
    <row r="72" customFormat="false" ht="16.5" hidden="false" customHeight="true" outlineLevel="0" collapsed="false">
      <c r="A72" s="28"/>
      <c r="B72" s="26" t="s">
        <v>96</v>
      </c>
      <c r="C72" s="23"/>
      <c r="D72" s="23"/>
      <c r="E72" s="23"/>
      <c r="F72" s="23"/>
      <c r="G72" s="23"/>
      <c r="H72" s="25" t="n">
        <f aca="false">SUM(C72:G72)</f>
        <v>0</v>
      </c>
    </row>
    <row r="73" customFormat="false" ht="16.5" hidden="false" customHeight="true" outlineLevel="0" collapsed="false">
      <c r="A73" s="28"/>
      <c r="B73" s="39" t="s">
        <v>97</v>
      </c>
      <c r="C73" s="18"/>
      <c r="D73" s="18"/>
      <c r="E73" s="18"/>
      <c r="F73" s="18"/>
      <c r="G73" s="18"/>
      <c r="H73" s="21" t="n">
        <f aca="false">SUM(C73:G73)</f>
        <v>0</v>
      </c>
    </row>
    <row r="74" customFormat="false" ht="16.5" hidden="false" customHeight="true" outlineLevel="0" collapsed="false">
      <c r="A74" s="28"/>
      <c r="B74" s="26" t="s">
        <v>98</v>
      </c>
      <c r="C74" s="23"/>
      <c r="D74" s="23"/>
      <c r="E74" s="23"/>
      <c r="F74" s="31"/>
      <c r="G74" s="23"/>
      <c r="H74" s="25" t="n">
        <f aca="false">SUM(C74:G74)</f>
        <v>0</v>
      </c>
    </row>
    <row r="75" customFormat="false" ht="16.5" hidden="false" customHeight="true" outlineLevel="0" collapsed="false">
      <c r="A75" s="28"/>
      <c r="B75" s="26" t="s">
        <v>99</v>
      </c>
      <c r="C75" s="23"/>
      <c r="D75" s="23"/>
      <c r="E75" s="23"/>
      <c r="F75" s="31"/>
      <c r="G75" s="23"/>
      <c r="H75" s="25" t="n">
        <f aca="false">SUM(C75:G75)</f>
        <v>0</v>
      </c>
    </row>
    <row r="76" customFormat="false" ht="17.25" hidden="false" customHeight="true" outlineLevel="0" collapsed="false">
      <c r="A76" s="28"/>
      <c r="B76" s="26" t="s">
        <v>100</v>
      </c>
      <c r="C76" s="23"/>
      <c r="D76" s="23"/>
      <c r="E76" s="23"/>
      <c r="F76" s="23"/>
      <c r="G76" s="23"/>
      <c r="H76" s="25" t="n">
        <f aca="false">SUM(C76:G76)</f>
        <v>0</v>
      </c>
    </row>
    <row r="77" customFormat="false" ht="16.5" hidden="false" customHeight="true" outlineLevel="0" collapsed="false">
      <c r="A77" s="28"/>
      <c r="B77" s="26" t="s">
        <v>101</v>
      </c>
      <c r="C77" s="23"/>
      <c r="D77" s="23"/>
      <c r="E77" s="23"/>
      <c r="F77" s="23"/>
      <c r="G77" s="23"/>
      <c r="H77" s="25" t="n">
        <f aca="false">SUM(C77:G77)</f>
        <v>0</v>
      </c>
    </row>
    <row r="78" customFormat="false" ht="16.5" hidden="false" customHeight="true" outlineLevel="0" collapsed="false">
      <c r="A78" s="28"/>
      <c r="B78" s="26" t="s">
        <v>102</v>
      </c>
      <c r="C78" s="23"/>
      <c r="D78" s="23"/>
      <c r="E78" s="23"/>
      <c r="F78" s="23"/>
      <c r="G78" s="23"/>
      <c r="H78" s="25" t="n">
        <f aca="false">SUM(C78:G78)</f>
        <v>0</v>
      </c>
    </row>
    <row r="79" customFormat="false" ht="17.25" hidden="false" customHeight="true" outlineLevel="0" collapsed="false">
      <c r="A79" s="28"/>
      <c r="B79" s="35" t="s">
        <v>103</v>
      </c>
      <c r="C79" s="23"/>
      <c r="D79" s="23"/>
      <c r="E79" s="23"/>
      <c r="F79" s="23"/>
      <c r="G79" s="23"/>
      <c r="H79" s="25" t="n">
        <f aca="false">SUM(C79:G79)</f>
        <v>0</v>
      </c>
    </row>
    <row r="80" customFormat="false" ht="17.25" hidden="false" customHeight="true" outlineLevel="0" collapsed="false">
      <c r="A80" s="28"/>
      <c r="B80" s="35" t="s">
        <v>104</v>
      </c>
      <c r="C80" s="23"/>
      <c r="D80" s="23"/>
      <c r="E80" s="23"/>
      <c r="F80" s="23"/>
      <c r="G80" s="23"/>
      <c r="H80" s="25" t="n">
        <f aca="false">SUM(C80:G80)</f>
        <v>0</v>
      </c>
    </row>
    <row r="81" customFormat="false" ht="17.25" hidden="false" customHeight="true" outlineLevel="0" collapsed="false">
      <c r="A81" s="28"/>
      <c r="B81" s="40" t="s">
        <v>105</v>
      </c>
      <c r="C81" s="30"/>
      <c r="D81" s="30"/>
      <c r="E81" s="30"/>
      <c r="F81" s="30"/>
      <c r="G81" s="30"/>
      <c r="H81" s="10" t="n">
        <f aca="false">SUM(C81:G81)</f>
        <v>0</v>
      </c>
    </row>
    <row r="82" customFormat="false" ht="16.5" hidden="false" customHeight="true" outlineLevel="0" collapsed="false">
      <c r="A82" s="28" t="s">
        <v>106</v>
      </c>
      <c r="B82" s="26" t="s">
        <v>107</v>
      </c>
      <c r="C82" s="24" t="n">
        <v>2000</v>
      </c>
      <c r="D82" s="29" t="n">
        <v>1000</v>
      </c>
      <c r="E82" s="23"/>
      <c r="F82" s="23"/>
      <c r="G82" s="23"/>
      <c r="H82" s="25" t="n">
        <f aca="false">SUM(C82:G82)</f>
        <v>3000</v>
      </c>
    </row>
    <row r="83" customFormat="false" ht="17.25" hidden="false" customHeight="true" outlineLevel="0" collapsed="false">
      <c r="A83" s="28"/>
      <c r="B83" s="26" t="s">
        <v>108</v>
      </c>
      <c r="C83" s="23"/>
      <c r="D83" s="29" t="n">
        <v>500</v>
      </c>
      <c r="E83" s="23"/>
      <c r="F83" s="23"/>
      <c r="G83" s="23"/>
      <c r="H83" s="25" t="n">
        <f aca="false">SUM(C83:G83)</f>
        <v>500</v>
      </c>
    </row>
    <row r="84" customFormat="false" ht="16.5" hidden="false" customHeight="true" outlineLevel="0" collapsed="false">
      <c r="A84" s="28"/>
      <c r="B84" s="26" t="s">
        <v>109</v>
      </c>
      <c r="C84" s="24" t="n">
        <v>3000</v>
      </c>
      <c r="D84" s="29" t="n">
        <v>17000</v>
      </c>
      <c r="E84" s="23"/>
      <c r="F84" s="23"/>
      <c r="G84" s="23"/>
      <c r="H84" s="25" t="n">
        <f aca="false">SUM(C84:G84)</f>
        <v>20000</v>
      </c>
    </row>
    <row r="85" customFormat="false" ht="17.25" hidden="false" customHeight="true" outlineLevel="0" collapsed="false">
      <c r="A85" s="28"/>
      <c r="B85" s="35" t="s">
        <v>110</v>
      </c>
      <c r="C85" s="23"/>
      <c r="D85" s="29" t="n">
        <v>1000</v>
      </c>
      <c r="E85" s="23"/>
      <c r="F85" s="23"/>
      <c r="G85" s="23"/>
      <c r="H85" s="25" t="n">
        <f aca="false">SUM(C85:G85)</f>
        <v>1000</v>
      </c>
    </row>
    <row r="86" customFormat="false" ht="16.5" hidden="false" customHeight="true" outlineLevel="0" collapsed="false">
      <c r="A86" s="28"/>
      <c r="B86" s="26" t="s">
        <v>111</v>
      </c>
      <c r="C86" s="24" t="n">
        <v>500</v>
      </c>
      <c r="D86" s="29" t="n">
        <v>4500</v>
      </c>
      <c r="E86" s="23"/>
      <c r="F86" s="23"/>
      <c r="G86" s="23"/>
      <c r="H86" s="25" t="n">
        <f aca="false">SUM(C86:G86)</f>
        <v>5000</v>
      </c>
    </row>
    <row r="87" customFormat="false" ht="16.5" hidden="false" customHeight="true" outlineLevel="0" collapsed="false">
      <c r="A87" s="28"/>
      <c r="B87" s="27" t="s">
        <v>112</v>
      </c>
      <c r="C87" s="8" t="n">
        <v>10</v>
      </c>
      <c r="D87" s="9" t="n">
        <v>20</v>
      </c>
      <c r="E87" s="30"/>
      <c r="F87" s="30"/>
      <c r="G87" s="30"/>
      <c r="H87" s="10" t="n">
        <f aca="false">MIN(SUM(C87:G87),80)</f>
        <v>30</v>
      </c>
    </row>
    <row r="88" customFormat="false" ht="17.25" hidden="false" customHeight="true" outlineLevel="0" collapsed="false">
      <c r="A88" s="28" t="s">
        <v>113</v>
      </c>
      <c r="B88" s="26" t="s">
        <v>114</v>
      </c>
      <c r="C88" s="23"/>
      <c r="D88" s="29" t="n">
        <v>20</v>
      </c>
      <c r="E88" s="23"/>
      <c r="F88" s="23"/>
      <c r="G88" s="24" t="n">
        <v>15</v>
      </c>
      <c r="H88" s="25" t="n">
        <f aca="false">SUM(C88:G88)</f>
        <v>35</v>
      </c>
    </row>
    <row r="89" customFormat="false" ht="17.25" hidden="false" customHeight="true" outlineLevel="0" collapsed="false">
      <c r="A89" s="28"/>
      <c r="B89" s="26" t="s">
        <v>115</v>
      </c>
      <c r="C89" s="23"/>
      <c r="D89" s="29" t="n">
        <v>30</v>
      </c>
      <c r="E89" s="23"/>
      <c r="F89" s="23"/>
      <c r="G89" s="23"/>
      <c r="H89" s="25" t="n">
        <f aca="false">SUM(C89:G89)</f>
        <v>30</v>
      </c>
    </row>
    <row r="90" customFormat="false" ht="17.25" hidden="false" customHeight="false" outlineLevel="0" collapsed="false">
      <c r="A90" s="28"/>
      <c r="B90" s="40" t="s">
        <v>116</v>
      </c>
      <c r="C90" s="30"/>
      <c r="D90" s="9" t="n">
        <v>100</v>
      </c>
      <c r="E90" s="30"/>
      <c r="F90" s="30"/>
      <c r="G90" s="30"/>
      <c r="H90" s="10" t="n">
        <f aca="false">SUM(C90:G90)</f>
        <v>100</v>
      </c>
    </row>
    <row r="91" customFormat="false" ht="17.25" hidden="false" customHeight="false" outlineLevel="0" collapsed="false">
      <c r="A91" s="28" t="s">
        <v>117</v>
      </c>
      <c r="B91" s="27" t="s">
        <v>118</v>
      </c>
      <c r="C91" s="30"/>
      <c r="D91" s="30"/>
      <c r="E91" s="30"/>
      <c r="F91" s="30"/>
      <c r="G91" s="30"/>
      <c r="H91" s="10" t="n">
        <f aca="false">SUM(C91:G91)</f>
        <v>0</v>
      </c>
    </row>
    <row r="92" customFormat="false" ht="17.25" hidden="false" customHeight="false" outlineLevel="0" collapsed="false">
      <c r="A92" s="28" t="s">
        <v>119</v>
      </c>
      <c r="B92" s="27" t="s">
        <v>119</v>
      </c>
      <c r="C92" s="30"/>
      <c r="D92" s="30"/>
      <c r="E92" s="30"/>
      <c r="F92" s="30"/>
      <c r="G92" s="30"/>
      <c r="H92" s="10" t="n">
        <f aca="false">SUM(C92:G92)</f>
        <v>0</v>
      </c>
    </row>
    <row r="93" customFormat="false" ht="17.25" hidden="false" customHeight="false" outlineLevel="0" collapsed="false">
      <c r="A93" s="28" t="s">
        <v>120</v>
      </c>
      <c r="B93" s="26" t="s">
        <v>121</v>
      </c>
      <c r="C93" s="23"/>
      <c r="D93" s="23"/>
      <c r="E93" s="23"/>
      <c r="F93" s="23"/>
      <c r="G93" s="23"/>
      <c r="H93" s="25" t="n">
        <f aca="false">SUM(C93:G93)</f>
        <v>0</v>
      </c>
    </row>
    <row r="94" customFormat="false" ht="17.25" hidden="false" customHeight="false" outlineLevel="0" collapsed="false">
      <c r="A94" s="28"/>
      <c r="B94" s="27" t="s">
        <v>122</v>
      </c>
      <c r="C94" s="30"/>
      <c r="D94" s="9" t="n">
        <v>1000</v>
      </c>
      <c r="E94" s="8" t="n">
        <v>2000</v>
      </c>
      <c r="F94" s="30"/>
      <c r="G94" s="30"/>
      <c r="H94" s="10" t="n">
        <f aca="false">SUM(C94:G94)</f>
        <v>3000</v>
      </c>
    </row>
    <row r="95" customFormat="false" ht="17.25" hidden="false" customHeight="false" outlineLevel="0" collapsed="false">
      <c r="A95" s="28" t="s">
        <v>123</v>
      </c>
      <c r="B95" s="26" t="s">
        <v>124</v>
      </c>
      <c r="C95" s="23"/>
      <c r="D95" s="23"/>
      <c r="E95" s="23"/>
      <c r="F95" s="23"/>
      <c r="G95" s="23"/>
      <c r="H95" s="25" t="n">
        <f aca="false">SUM(C95:G95)</f>
        <v>0</v>
      </c>
    </row>
    <row r="96" customFormat="false" ht="17.25" hidden="false" customHeight="false" outlineLevel="0" collapsed="false">
      <c r="A96" s="28"/>
      <c r="B96" s="27" t="s">
        <v>125</v>
      </c>
      <c r="C96" s="30"/>
      <c r="D96" s="9" t="n">
        <v>50</v>
      </c>
      <c r="E96" s="30"/>
      <c r="F96" s="30"/>
      <c r="G96" s="30"/>
      <c r="H96" s="10" t="n">
        <f aca="false">SUM(C96:G96)</f>
        <v>50</v>
      </c>
    </row>
    <row r="97" customFormat="false" ht="17.25" hidden="false" customHeight="false" outlineLevel="0" collapsed="false">
      <c r="A97" s="28" t="s">
        <v>126</v>
      </c>
      <c r="B97" s="26" t="s">
        <v>127</v>
      </c>
      <c r="C97" s="31"/>
      <c r="D97" s="31"/>
      <c r="E97" s="31"/>
      <c r="F97" s="29" t="n">
        <v>5000</v>
      </c>
      <c r="G97" s="31"/>
      <c r="H97" s="25" t="n">
        <f aca="false">SUM(C97:G97)</f>
        <v>5000</v>
      </c>
    </row>
    <row r="98" customFormat="false" ht="17.25" hidden="false" customHeight="false" outlineLevel="0" collapsed="false">
      <c r="A98" s="28"/>
      <c r="B98" s="26" t="s">
        <v>128</v>
      </c>
      <c r="C98" s="31"/>
      <c r="D98" s="31"/>
      <c r="E98" s="31"/>
      <c r="F98" s="29" t="n">
        <v>25</v>
      </c>
      <c r="G98" s="31"/>
      <c r="H98" s="25" t="n">
        <f aca="false">SUM(C98:G98)</f>
        <v>25</v>
      </c>
    </row>
    <row r="99" customFormat="false" ht="17.25" hidden="false" customHeight="false" outlineLevel="0" collapsed="false">
      <c r="A99" s="28"/>
      <c r="B99" s="26" t="s">
        <v>129</v>
      </c>
      <c r="C99" s="23"/>
      <c r="D99" s="23"/>
      <c r="E99" s="23"/>
      <c r="F99" s="29" t="n">
        <v>5</v>
      </c>
      <c r="G99" s="23"/>
      <c r="H99" s="25" t="n">
        <f aca="false">SUM(C99:G99)</f>
        <v>5</v>
      </c>
    </row>
    <row r="100" customFormat="false" ht="17.25" hidden="false" customHeight="false" outlineLevel="0" collapsed="false">
      <c r="A100" s="28"/>
      <c r="B100" s="26" t="s">
        <v>130</v>
      </c>
      <c r="C100" s="23"/>
      <c r="D100" s="23"/>
      <c r="E100" s="23"/>
      <c r="F100" s="37" t="s">
        <v>131</v>
      </c>
      <c r="G100" s="23"/>
      <c r="H100" s="38" t="s">
        <v>131</v>
      </c>
    </row>
    <row r="101" customFormat="false" ht="17.25" hidden="false" customHeight="false" outlineLevel="0" collapsed="false">
      <c r="A101" s="28"/>
      <c r="B101" s="27" t="s">
        <v>132</v>
      </c>
      <c r="C101" s="30"/>
      <c r="D101" s="30"/>
      <c r="E101" s="30"/>
      <c r="F101" s="30"/>
      <c r="G101" s="30"/>
      <c r="H101" s="10" t="n">
        <f aca="false">SUM(C101:G101)</f>
        <v>0</v>
      </c>
    </row>
    <row r="102" customFormat="false" ht="17.25" hidden="false" customHeight="false" outlineLevel="0" collapsed="false">
      <c r="A102" s="28" t="s">
        <v>133</v>
      </c>
      <c r="B102" s="27" t="s">
        <v>134</v>
      </c>
      <c r="C102" s="9" t="n">
        <v>10000</v>
      </c>
      <c r="D102" s="41"/>
      <c r="E102" s="41"/>
      <c r="F102" s="41"/>
      <c r="G102" s="41"/>
      <c r="H102" s="10" t="n">
        <f aca="false">SUM(C102:G102)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8"/>
    <mergeCell ref="A39:A51"/>
    <mergeCell ref="A52:A64"/>
    <mergeCell ref="A65:A81"/>
    <mergeCell ref="A82:A87"/>
    <mergeCell ref="A88:A90"/>
    <mergeCell ref="A93:A94"/>
    <mergeCell ref="A95:A96"/>
    <mergeCell ref="A97:A10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42" t="s">
        <v>135</v>
      </c>
    </row>
    <row r="3" customFormat="false" ht="16.5" hidden="false" customHeight="true" outlineLevel="0" collapsed="false">
      <c r="A3" s="43" t="s">
        <v>136</v>
      </c>
      <c r="B3" s="44" t="s">
        <v>137</v>
      </c>
    </row>
    <row r="4" customFormat="false" ht="16.5" hidden="false" customHeight="true" outlineLevel="0" collapsed="false">
      <c r="A4" s="43" t="s">
        <v>138</v>
      </c>
      <c r="B4" s="44" t="s">
        <v>139</v>
      </c>
    </row>
    <row r="5" customFormat="false" ht="16.5" hidden="false" customHeight="true" outlineLevel="0" collapsed="false">
      <c r="A5" s="43" t="s">
        <v>140</v>
      </c>
      <c r="B5" s="44" t="s">
        <v>141</v>
      </c>
    </row>
    <row r="6" customFormat="false" ht="16.5" hidden="false" customHeight="true" outlineLevel="0" collapsed="false">
      <c r="A6" s="43" t="s">
        <v>142</v>
      </c>
      <c r="B6" s="44" t="s">
        <v>143</v>
      </c>
    </row>
    <row r="7" customFormat="false" ht="16.5" hidden="false" customHeight="true" outlineLevel="0" collapsed="false">
      <c r="A7" s="43" t="s">
        <v>144</v>
      </c>
      <c r="B7" s="44" t="s">
        <v>145</v>
      </c>
    </row>
    <row r="8" customFormat="false" ht="16.5" hidden="false" customHeight="true" outlineLevel="0" collapsed="false">
      <c r="A8" s="43" t="s">
        <v>146</v>
      </c>
      <c r="B8" s="45" t="s">
        <v>147</v>
      </c>
    </row>
    <row r="9" customFormat="false" ht="16.5" hidden="false" customHeight="true" outlineLevel="0" collapsed="false">
      <c r="A9" s="43" t="s">
        <v>148</v>
      </c>
      <c r="B9" s="44" t="s">
        <v>149</v>
      </c>
    </row>
    <row r="10" customFormat="false" ht="16.5" hidden="false" customHeight="true" outlineLevel="0" collapsed="false">
      <c r="A10" s="43" t="s">
        <v>150</v>
      </c>
      <c r="B10" s="44" t="s">
        <v>151</v>
      </c>
    </row>
    <row r="11" customFormat="false" ht="16.5" hidden="false" customHeight="true" outlineLevel="0" collapsed="false">
      <c r="A11" s="43" t="s">
        <v>152</v>
      </c>
      <c r="B11" s="44" t="s">
        <v>153</v>
      </c>
    </row>
    <row r="12" customFormat="false" ht="16.5" hidden="false" customHeight="true" outlineLevel="0" collapsed="false">
      <c r="A12" s="43" t="s">
        <v>154</v>
      </c>
      <c r="B12" s="45" t="s">
        <v>155</v>
      </c>
    </row>
    <row r="13" customFormat="false" ht="16.5" hidden="false" customHeight="true" outlineLevel="0" collapsed="false">
      <c r="A13" s="43" t="s">
        <v>156</v>
      </c>
      <c r="B13" s="44" t="s">
        <v>157</v>
      </c>
    </row>
    <row r="14" customFormat="false" ht="16.5" hidden="false" customHeight="true" outlineLevel="0" collapsed="false">
      <c r="A14" s="43" t="s">
        <v>158</v>
      </c>
      <c r="B14" s="4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6" t="s">
        <v>160</v>
      </c>
    </row>
    <row r="3" customFormat="false" ht="15" hidden="false" customHeight="false" outlineLevel="0" collapsed="false">
      <c r="A3" s="46" t="s">
        <v>161</v>
      </c>
      <c r="B3" s="1" t="n">
        <v>5</v>
      </c>
    </row>
    <row r="4" customFormat="false" ht="17.15" hidden="false" customHeight="false" outlineLevel="0" collapsed="false">
      <c r="A4" s="46" t="s">
        <v>162</v>
      </c>
      <c r="B4" s="1" t="s">
        <v>163</v>
      </c>
    </row>
    <row r="6" customFormat="false" ht="17.15" hidden="false" customHeight="false" outlineLevel="0" collapsed="false">
      <c r="A6" s="0" t="s">
        <v>164</v>
      </c>
    </row>
    <row r="7" customFormat="false" ht="17.15" hidden="false" customHeight="false" outlineLevel="0" collapsed="false">
      <c r="A7" s="46" t="s">
        <v>165</v>
      </c>
      <c r="B7" s="47" t="s">
        <v>166</v>
      </c>
      <c r="C7" s="46" t="s">
        <v>167</v>
      </c>
      <c r="D7" s="47" t="s">
        <v>168</v>
      </c>
      <c r="E7" s="47" t="s">
        <v>169</v>
      </c>
    </row>
    <row r="8" customFormat="false" ht="17.15" hidden="false" customHeight="false" outlineLevel="0" collapsed="false">
      <c r="A8" s="0" t="s">
        <v>170</v>
      </c>
      <c r="B8" s="47" t="s">
        <v>171</v>
      </c>
      <c r="C8" s="0" t="n">
        <v>100</v>
      </c>
      <c r="E8" s="1" t="s">
        <v>172</v>
      </c>
    </row>
    <row r="9" customFormat="false" ht="17.15" hidden="false" customHeight="false" outlineLevel="0" collapsed="false">
      <c r="A9" s="0" t="s">
        <v>170</v>
      </c>
      <c r="B9" s="47" t="s">
        <v>173</v>
      </c>
      <c r="C9" s="0" t="n">
        <v>100</v>
      </c>
      <c r="E9" s="1" t="s">
        <v>174</v>
      </c>
    </row>
    <row r="10" customFormat="false" ht="17.15" hidden="false" customHeight="false" outlineLevel="0" collapsed="false">
      <c r="A10" s="0" t="s">
        <v>170</v>
      </c>
      <c r="B10" s="47" t="s">
        <v>175</v>
      </c>
      <c r="C10" s="0" t="n">
        <v>100</v>
      </c>
      <c r="E10" s="1" t="s">
        <v>176</v>
      </c>
    </row>
    <row r="11" customFormat="false" ht="15" hidden="false" customHeight="false" outlineLevel="0" collapsed="false">
      <c r="A11" s="46" t="s">
        <v>177</v>
      </c>
      <c r="B11" s="47" t="s">
        <v>178</v>
      </c>
      <c r="C11" s="0" t="n">
        <v>865</v>
      </c>
      <c r="E11" s="1" t="s">
        <v>179</v>
      </c>
    </row>
    <row r="12" customFormat="false" ht="15" hidden="false" customHeight="false" outlineLevel="0" collapsed="false">
      <c r="A12" s="46" t="s">
        <v>177</v>
      </c>
      <c r="B12" s="47" t="s">
        <v>180</v>
      </c>
      <c r="C12" s="0" t="n">
        <v>865</v>
      </c>
      <c r="E12" s="1" t="s">
        <v>181</v>
      </c>
    </row>
    <row r="13" customFormat="false" ht="17.15" hidden="false" customHeight="false" outlineLevel="0" collapsed="false">
      <c r="A13" s="0" t="s">
        <v>182</v>
      </c>
      <c r="B13" s="47" t="s">
        <v>183</v>
      </c>
      <c r="C13" s="0" t="n">
        <v>2400</v>
      </c>
      <c r="E13" s="1" t="s">
        <v>184</v>
      </c>
    </row>
    <row r="14" customFormat="false" ht="17.15" hidden="false" customHeight="false" outlineLevel="0" collapsed="false">
      <c r="A14" s="0" t="s">
        <v>182</v>
      </c>
      <c r="B14" s="47" t="s">
        <v>185</v>
      </c>
      <c r="C14" s="0" t="n">
        <v>2400</v>
      </c>
      <c r="E14" s="1" t="s">
        <v>186</v>
      </c>
    </row>
    <row r="15" customFormat="false" ht="17.15" hidden="false" customHeight="false" outlineLevel="0" collapsed="false">
      <c r="A15" s="0" t="s">
        <v>182</v>
      </c>
      <c r="B15" s="47" t="s">
        <v>178</v>
      </c>
      <c r="C15" s="0" t="n">
        <v>300</v>
      </c>
      <c r="E15" s="1" t="s">
        <v>187</v>
      </c>
    </row>
    <row r="16" customFormat="false" ht="17.15" hidden="false" customHeight="false" outlineLevel="0" collapsed="false">
      <c r="A16" s="0" t="s">
        <v>182</v>
      </c>
      <c r="B16" s="47" t="s">
        <v>180</v>
      </c>
      <c r="C16" s="0" t="n">
        <v>300</v>
      </c>
      <c r="E16" s="1" t="s">
        <v>188</v>
      </c>
    </row>
    <row r="17" customFormat="false" ht="17.15" hidden="false" customHeight="false" outlineLevel="0" collapsed="false">
      <c r="A17" s="0" t="s">
        <v>182</v>
      </c>
      <c r="B17" s="47" t="s">
        <v>189</v>
      </c>
      <c r="C17" s="0" t="n">
        <v>400</v>
      </c>
      <c r="E17" s="1" t="s">
        <v>190</v>
      </c>
    </row>
    <row r="18" customFormat="false" ht="15" hidden="false" customHeight="false" outlineLevel="0" collapsed="false">
      <c r="A18" s="46" t="s">
        <v>191</v>
      </c>
      <c r="B18" s="47" t="s">
        <v>178</v>
      </c>
      <c r="C18" s="0" t="n">
        <v>500</v>
      </c>
      <c r="E18" s="1" t="s">
        <v>192</v>
      </c>
    </row>
    <row r="19" customFormat="false" ht="17.15" hidden="false" customHeight="false" outlineLevel="0" collapsed="false">
      <c r="A19" s="46" t="s">
        <v>191</v>
      </c>
      <c r="B19" s="1" t="s">
        <v>193</v>
      </c>
      <c r="C19" s="0" t="n">
        <v>400</v>
      </c>
      <c r="E19" s="1" t="s">
        <v>194</v>
      </c>
    </row>
    <row r="20" customFormat="false" ht="15" hidden="false" customHeight="false" outlineLevel="0" collapsed="false">
      <c r="A20" s="46" t="s">
        <v>191</v>
      </c>
      <c r="B20" s="47" t="s">
        <v>180</v>
      </c>
      <c r="C20" s="0" t="n">
        <v>500</v>
      </c>
      <c r="E20" s="1" t="s">
        <v>195</v>
      </c>
    </row>
    <row r="21" customFormat="false" ht="17.15" hidden="false" customHeight="false" outlineLevel="0" collapsed="false">
      <c r="A21" s="46" t="s">
        <v>191</v>
      </c>
      <c r="B21" s="1" t="s">
        <v>196</v>
      </c>
      <c r="C21" s="0" t="n">
        <v>2</v>
      </c>
      <c r="E21" s="1" t="s">
        <v>197</v>
      </c>
    </row>
    <row r="25" customFormat="false" ht="17.15" hidden="false" customHeight="false" outlineLevel="0" collapsed="false">
      <c r="A25" s="0" t="s">
        <v>198</v>
      </c>
    </row>
    <row r="26" customFormat="false" ht="17.15" hidden="false" customHeight="false" outlineLevel="0" collapsed="false">
      <c r="A26" s="46" t="s">
        <v>165</v>
      </c>
      <c r="B26" s="47" t="s">
        <v>199</v>
      </c>
      <c r="C26" s="46" t="s">
        <v>200</v>
      </c>
      <c r="D26" s="47" t="s">
        <v>201</v>
      </c>
    </row>
    <row r="27" customFormat="false" ht="17.15" hidden="false" customHeight="false" outlineLevel="0" collapsed="false">
      <c r="A27" s="0" t="s">
        <v>182</v>
      </c>
      <c r="B27" s="1" t="s">
        <v>9</v>
      </c>
      <c r="C27" s="48" t="s">
        <v>202</v>
      </c>
      <c r="D27" s="1" t="s">
        <v>203</v>
      </c>
    </row>
    <row r="29" customFormat="false" ht="17.15" hidden="false" customHeight="false" outlineLevel="0" collapsed="false">
      <c r="A29" s="0" t="s">
        <v>204</v>
      </c>
    </row>
    <row r="30" customFormat="false" ht="17.15" hidden="false" customHeight="false" outlineLevel="0" collapsed="false">
      <c r="A30" s="46" t="s">
        <v>165</v>
      </c>
      <c r="B30" s="47" t="s">
        <v>205</v>
      </c>
      <c r="C30" s="46" t="s">
        <v>206</v>
      </c>
      <c r="D30" s="47" t="s">
        <v>167</v>
      </c>
    </row>
    <row r="31" customFormat="false" ht="15" hidden="false" customHeight="false" outlineLevel="0" collapsed="false">
      <c r="A31" s="46" t="s">
        <v>207</v>
      </c>
      <c r="B31" s="47" t="s">
        <v>208</v>
      </c>
      <c r="C31" s="46" t="s">
        <v>71</v>
      </c>
      <c r="D31" s="1" t="n">
        <v>3000</v>
      </c>
    </row>
    <row r="32" customFormat="false" ht="15" hidden="false" customHeight="false" outlineLevel="0" collapsed="false">
      <c r="A32" s="46" t="s">
        <v>207</v>
      </c>
      <c r="B32" s="47" t="s">
        <v>209</v>
      </c>
      <c r="C32" s="46" t="s">
        <v>70</v>
      </c>
      <c r="D32" s="1" t="n">
        <v>1000</v>
      </c>
    </row>
    <row r="33" customFormat="false" ht="15" hidden="false" customHeight="false" outlineLevel="0" collapsed="false">
      <c r="A33" s="46" t="s">
        <v>177</v>
      </c>
      <c r="B33" s="47" t="s">
        <v>210</v>
      </c>
      <c r="C33" s="46" t="s">
        <v>72</v>
      </c>
      <c r="D33" s="1" t="n">
        <v>6000</v>
      </c>
    </row>
    <row r="34" customFormat="false" ht="17.15" hidden="false" customHeight="false" outlineLevel="0" collapsed="false">
      <c r="A34" s="0" t="s">
        <v>182</v>
      </c>
      <c r="B34" s="47" t="s">
        <v>210</v>
      </c>
      <c r="C34" s="46" t="s">
        <v>72</v>
      </c>
      <c r="D34" s="1" t="n">
        <v>2400</v>
      </c>
    </row>
    <row r="35" customFormat="false" ht="17.15" hidden="false" customHeight="false" outlineLevel="0" collapsed="false">
      <c r="A35" s="46" t="s">
        <v>191</v>
      </c>
      <c r="B35" s="47" t="s">
        <v>211</v>
      </c>
      <c r="C35" s="46" t="s">
        <v>71</v>
      </c>
      <c r="D35" s="1" t="n">
        <v>2000</v>
      </c>
    </row>
    <row r="37" customFormat="false" ht="17.15" hidden="false" customHeight="false" outlineLevel="0" collapsed="false">
      <c r="A37" s="0" t="s">
        <v>212</v>
      </c>
    </row>
    <row r="38" customFormat="false" ht="17.15" hidden="false" customHeight="false" outlineLevel="0" collapsed="false">
      <c r="A38" s="46" t="s">
        <v>165</v>
      </c>
      <c r="B38" s="47" t="s">
        <v>205</v>
      </c>
      <c r="C38" s="46" t="s">
        <v>213</v>
      </c>
      <c r="D38" s="47" t="s">
        <v>167</v>
      </c>
    </row>
    <row r="39" customFormat="false" ht="17.15" hidden="false" customHeight="false" outlineLevel="0" collapsed="false">
      <c r="A39" s="0" t="s">
        <v>170</v>
      </c>
      <c r="B39" s="47" t="s">
        <v>214</v>
      </c>
      <c r="C39" s="46" t="s">
        <v>88</v>
      </c>
      <c r="D39" s="1" t="n">
        <v>100</v>
      </c>
    </row>
    <row r="40" customFormat="false" ht="17.15" hidden="false" customHeight="false" outlineLevel="0" collapsed="false">
      <c r="A40" s="0" t="s">
        <v>170</v>
      </c>
      <c r="B40" s="47" t="s">
        <v>215</v>
      </c>
      <c r="C40" s="46" t="s">
        <v>216</v>
      </c>
      <c r="D40" s="1" t="n">
        <v>20</v>
      </c>
    </row>
    <row r="41" customFormat="false" ht="17.15" hidden="false" customHeight="false" outlineLevel="0" collapsed="false">
      <c r="A41" s="0" t="s">
        <v>170</v>
      </c>
      <c r="B41" s="47" t="s">
        <v>217</v>
      </c>
      <c r="C41" s="46" t="s">
        <v>218</v>
      </c>
      <c r="D41" s="1" t="n">
        <v>50</v>
      </c>
    </row>
    <row r="42" customFormat="false" ht="17.15" hidden="false" customHeight="false" outlineLevel="0" collapsed="false">
      <c r="A42" s="0" t="s">
        <v>170</v>
      </c>
      <c r="B42" s="47" t="s">
        <v>219</v>
      </c>
      <c r="C42" s="46" t="s">
        <v>220</v>
      </c>
      <c r="D42" s="1" t="n">
        <v>100</v>
      </c>
    </row>
    <row r="43" customFormat="false" ht="17.15" hidden="false" customHeight="false" outlineLevel="0" collapsed="false">
      <c r="A43" s="0" t="s">
        <v>170</v>
      </c>
      <c r="B43" s="47" t="s">
        <v>221</v>
      </c>
      <c r="C43" s="46" t="s">
        <v>222</v>
      </c>
      <c r="D43" s="1" t="n">
        <v>500</v>
      </c>
    </row>
    <row r="44" customFormat="false" ht="17.15" hidden="false" customHeight="false" outlineLevel="0" collapsed="false">
      <c r="A44" s="0" t="s">
        <v>170</v>
      </c>
      <c r="B44" s="47" t="s">
        <v>223</v>
      </c>
      <c r="C44" s="46" t="s">
        <v>224</v>
      </c>
      <c r="D44" s="1" t="n">
        <v>1000</v>
      </c>
    </row>
    <row r="45" customFormat="false" ht="15" hidden="false" customHeight="false" outlineLevel="0" collapsed="false">
      <c r="A45" s="46" t="s">
        <v>177</v>
      </c>
      <c r="B45" s="47" t="s">
        <v>47</v>
      </c>
      <c r="C45" s="46" t="s">
        <v>47</v>
      </c>
      <c r="D45" s="1" t="n">
        <v>200</v>
      </c>
    </row>
    <row r="46" customFormat="false" ht="17.15" hidden="false" customHeight="false" outlineLevel="0" collapsed="false">
      <c r="A46" s="0" t="s">
        <v>182</v>
      </c>
      <c r="B46" s="47" t="s">
        <v>47</v>
      </c>
      <c r="C46" s="46" t="s">
        <v>47</v>
      </c>
      <c r="D46" s="1" t="n">
        <v>200</v>
      </c>
    </row>
    <row r="47" customFormat="false" ht="15" hidden="false" customHeight="false" outlineLevel="0" collapsed="false">
      <c r="A47" s="46" t="s">
        <v>191</v>
      </c>
      <c r="B47" s="47" t="s">
        <v>47</v>
      </c>
      <c r="C47" s="46" t="s">
        <v>47</v>
      </c>
      <c r="D47" s="1" t="n">
        <v>400</v>
      </c>
    </row>
    <row r="49" customFormat="false" ht="17.15" hidden="false" customHeight="false" outlineLevel="0" collapsed="false">
      <c r="A49" s="0" t="s">
        <v>225</v>
      </c>
    </row>
    <row r="50" customFormat="false" ht="17.15" hidden="false" customHeight="false" outlineLevel="0" collapsed="false">
      <c r="A50" s="46" t="s">
        <v>165</v>
      </c>
      <c r="B50" s="47" t="s">
        <v>226</v>
      </c>
      <c r="C50" s="46" t="s">
        <v>227</v>
      </c>
      <c r="D50" s="47" t="s">
        <v>228</v>
      </c>
      <c r="E50" s="47" t="s">
        <v>229</v>
      </c>
      <c r="F50" s="46" t="s">
        <v>230</v>
      </c>
      <c r="G50" s="46" t="s">
        <v>231</v>
      </c>
      <c r="H50" s="46" t="s">
        <v>232</v>
      </c>
      <c r="I50" s="46" t="s">
        <v>233</v>
      </c>
    </row>
    <row r="51" customFormat="false" ht="17.15" hidden="false" customHeight="false" outlineLevel="0" collapsed="false">
      <c r="A51" s="46" t="s">
        <v>177</v>
      </c>
      <c r="B51" s="47" t="s">
        <v>234</v>
      </c>
      <c r="C51" s="48" t="s">
        <v>235</v>
      </c>
      <c r="D51" s="1" t="s">
        <v>236</v>
      </c>
      <c r="E51" s="47" t="s">
        <v>237</v>
      </c>
      <c r="F51" s="0" t="n">
        <v>4000</v>
      </c>
      <c r="G51" s="48" t="s">
        <v>238</v>
      </c>
      <c r="H51" s="0" t="n">
        <v>2000</v>
      </c>
      <c r="I51" s="46" t="s">
        <v>239</v>
      </c>
    </row>
    <row r="52" customFormat="false" ht="17.15" hidden="false" customHeight="false" outlineLevel="0" collapsed="false">
      <c r="A52" s="0" t="s">
        <v>182</v>
      </c>
      <c r="B52" s="1" t="s">
        <v>240</v>
      </c>
      <c r="C52" s="48" t="s">
        <v>235</v>
      </c>
      <c r="D52" s="1" t="s">
        <v>236</v>
      </c>
      <c r="E52" s="47" t="s">
        <v>241</v>
      </c>
      <c r="F52" s="0" t="n">
        <v>3000</v>
      </c>
      <c r="G52" s="48" t="s">
        <v>242</v>
      </c>
      <c r="H52" s="0" t="n">
        <v>2400</v>
      </c>
      <c r="I52" s="46" t="s">
        <v>243</v>
      </c>
    </row>
    <row r="53" customFormat="false" ht="17.15" hidden="false" customHeight="false" outlineLevel="0" collapsed="false">
      <c r="A53" s="0" t="s">
        <v>244</v>
      </c>
    </row>
    <row r="55" customFormat="false" ht="17.15" hidden="false" customHeight="false" outlineLevel="0" collapsed="false">
      <c r="A55" s="0" t="s">
        <v>245</v>
      </c>
    </row>
    <row r="56" customFormat="false" ht="17.15" hidden="false" customHeight="false" outlineLevel="0" collapsed="false">
      <c r="A56" s="46" t="s">
        <v>165</v>
      </c>
      <c r="B56" s="47" t="s">
        <v>205</v>
      </c>
      <c r="C56" s="46" t="s">
        <v>206</v>
      </c>
      <c r="D56" s="47" t="s">
        <v>167</v>
      </c>
    </row>
    <row r="57" customFormat="false" ht="15" hidden="false" customHeight="false" outlineLevel="0" collapsed="false">
      <c r="A57" s="46" t="s">
        <v>177</v>
      </c>
      <c r="B57" s="47" t="s">
        <v>246</v>
      </c>
      <c r="C57" s="46" t="s">
        <v>37</v>
      </c>
      <c r="D57" s="1" t="n">
        <v>2000</v>
      </c>
    </row>
    <row r="58" customFormat="false" ht="15" hidden="false" customHeight="false" outlineLevel="0" collapsed="false">
      <c r="A58" s="46" t="s">
        <v>177</v>
      </c>
      <c r="B58" s="47" t="s">
        <v>47</v>
      </c>
      <c r="C58" s="46" t="s">
        <v>47</v>
      </c>
      <c r="D58" s="1" t="n">
        <v>200</v>
      </c>
    </row>
    <row r="59" customFormat="false" ht="15" hidden="false" customHeight="false" outlineLevel="0" collapsed="false">
      <c r="A59" s="46" t="s">
        <v>177</v>
      </c>
      <c r="B59" s="47" t="s">
        <v>247</v>
      </c>
      <c r="C59" s="46" t="s">
        <v>48</v>
      </c>
      <c r="D59" s="1" t="n">
        <v>10</v>
      </c>
    </row>
    <row r="60" customFormat="false" ht="17.15" hidden="false" customHeight="false" outlineLevel="0" collapsed="false">
      <c r="A60" s="0" t="s">
        <v>182</v>
      </c>
      <c r="B60" s="47" t="s">
        <v>246</v>
      </c>
      <c r="C60" s="46" t="s">
        <v>37</v>
      </c>
      <c r="D60" s="1" t="n">
        <v>5400</v>
      </c>
    </row>
    <row r="61" customFormat="false" ht="17.15" hidden="false" customHeight="false" outlineLevel="0" collapsed="false">
      <c r="A61" s="0" t="s">
        <v>182</v>
      </c>
      <c r="B61" s="47" t="s">
        <v>248</v>
      </c>
      <c r="C61" s="46" t="s">
        <v>249</v>
      </c>
      <c r="D61" s="1" t="n">
        <v>400</v>
      </c>
    </row>
    <row r="62" customFormat="false" ht="17.15" hidden="false" customHeight="false" outlineLevel="0" collapsed="false">
      <c r="A62" s="0" t="s">
        <v>182</v>
      </c>
      <c r="B62" s="47" t="s">
        <v>47</v>
      </c>
      <c r="C62" s="46" t="s">
        <v>47</v>
      </c>
      <c r="D62" s="1" t="n">
        <v>200</v>
      </c>
    </row>
    <row r="63" customFormat="false" ht="17.15" hidden="false" customHeight="false" outlineLevel="0" collapsed="false">
      <c r="A63" s="0" t="s">
        <v>182</v>
      </c>
      <c r="B63" s="47" t="s">
        <v>247</v>
      </c>
      <c r="C63" s="46" t="s">
        <v>48</v>
      </c>
      <c r="D63" s="1" t="n">
        <v>5</v>
      </c>
    </row>
    <row r="64" customFormat="false" ht="17.15" hidden="false" customHeight="false" outlineLevel="0" collapsed="false">
      <c r="A64" s="46" t="s">
        <v>191</v>
      </c>
      <c r="B64" s="47" t="s">
        <v>250</v>
      </c>
      <c r="C64" s="46" t="s">
        <v>36</v>
      </c>
      <c r="D64" s="1" t="n">
        <v>2000</v>
      </c>
    </row>
    <row r="65" customFormat="false" ht="17.15" hidden="false" customHeight="false" outlineLevel="0" collapsed="false">
      <c r="A65" s="46" t="s">
        <v>191</v>
      </c>
      <c r="B65" s="1" t="s">
        <v>251</v>
      </c>
      <c r="C65" s="46" t="s">
        <v>249</v>
      </c>
      <c r="D65" s="1" t="n">
        <v>200</v>
      </c>
    </row>
    <row r="66" customFormat="false" ht="15" hidden="false" customHeight="false" outlineLevel="0" collapsed="false">
      <c r="A66" s="46" t="s">
        <v>191</v>
      </c>
      <c r="B66" s="47" t="s">
        <v>47</v>
      </c>
      <c r="C66" s="46" t="s">
        <v>47</v>
      </c>
      <c r="D66" s="1" t="n">
        <v>400</v>
      </c>
    </row>
    <row r="67" customFormat="false" ht="15" hidden="false" customHeight="false" outlineLevel="0" collapsed="false">
      <c r="A67" s="46" t="s">
        <v>191</v>
      </c>
      <c r="B67" s="47" t="s">
        <v>252</v>
      </c>
      <c r="C67" s="46" t="s">
        <v>48</v>
      </c>
      <c r="D67" s="1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253</v>
      </c>
      <c r="B1" s="0" t="s">
        <v>254</v>
      </c>
      <c r="C1" s="0" t="s">
        <v>255</v>
      </c>
    </row>
    <row r="2" customFormat="false" ht="15" hidden="false" customHeight="false" outlineLevel="0" collapsed="false">
      <c r="A2" s="46" t="s">
        <v>51</v>
      </c>
      <c r="B2" s="46" t="s">
        <v>256</v>
      </c>
      <c r="C2" s="0" t="n">
        <v>1000</v>
      </c>
    </row>
    <row r="3" customFormat="false" ht="15" hidden="false" customHeight="false" outlineLevel="0" collapsed="false">
      <c r="A3" s="46" t="s">
        <v>52</v>
      </c>
      <c r="B3" s="46" t="s">
        <v>257</v>
      </c>
      <c r="C3" s="0" t="n">
        <v>3000</v>
      </c>
    </row>
    <row r="4" customFormat="false" ht="15" hidden="false" customHeight="false" outlineLevel="0" collapsed="false">
      <c r="A4" s="46" t="s">
        <v>71</v>
      </c>
      <c r="B4" s="46" t="s">
        <v>208</v>
      </c>
      <c r="C4" s="0" t="n">
        <v>3000</v>
      </c>
    </row>
    <row r="5" customFormat="false" ht="15" hidden="false" customHeight="false" outlineLevel="0" collapsed="false">
      <c r="A5" s="46" t="s">
        <v>70</v>
      </c>
      <c r="B5" s="46" t="s">
        <v>209</v>
      </c>
      <c r="C5" s="0" t="n">
        <v>1000</v>
      </c>
    </row>
    <row r="6" customFormat="false" ht="17.15" hidden="false" customHeight="false" outlineLevel="0" collapsed="false">
      <c r="A6" s="46" t="s">
        <v>36</v>
      </c>
      <c r="B6" s="46" t="s">
        <v>250</v>
      </c>
      <c r="C6" s="0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2026-07-26T02:09:38Z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