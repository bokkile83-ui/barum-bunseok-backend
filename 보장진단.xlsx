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indows\Desktop\클로드\"/>
    </mc:Choice>
  </mc:AlternateContent>
  <xr:revisionPtr revIDLastSave="0" documentId="13_ncr:1_{290AF723-6AC8-4C30-994C-7810AD88EC1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보장분석" sheetId="1" r:id="rId1"/>
    <sheet name="법칙" sheetId="2" r:id="rId2"/>
    <sheet name="확인사항" sheetId="3" r:id="rId3"/>
    <sheet name="근거표" sheetId="4" r:id="rId4"/>
    <sheet name="_dambo_raw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6" i="1" l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7" i="1"/>
  <c r="G76" i="1"/>
  <c r="G75" i="1"/>
  <c r="G74" i="1"/>
  <c r="G73" i="1"/>
  <c r="G72" i="1"/>
  <c r="G71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2" i="1"/>
</calcChain>
</file>

<file path=xl/sharedStrings.xml><?xml version="1.0" encoding="utf-8"?>
<sst xmlns="http://schemas.openxmlformats.org/spreadsheetml/2006/main" count="730" uniqueCount="348">
  <si>
    <t>사공정 보장진단</t>
  </si>
  <si>
    <r>
      <rPr>
        <b/>
        <sz val="9"/>
        <color rgb="FFFFFFFF"/>
        <rFont val="Noto Sans CJK SC"/>
        <family val="2"/>
      </rPr>
      <t>우정사업본부
무배당 우체국큰병큰보장보험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갱신형</t>
    </r>
    <r>
      <rPr>
        <b/>
        <sz val="9"/>
        <color rgb="FFFFFFFF"/>
        <rFont val="맑은 고딕"/>
        <family val="3"/>
        <charset val="129"/>
      </rPr>
      <t>)
[</t>
    </r>
    <r>
      <rPr>
        <b/>
        <sz val="9"/>
        <color rgb="FFFFFFFF"/>
        <rFont val="Noto Sans CJK SC"/>
        <family val="2"/>
      </rPr>
      <t>갱신</t>
    </r>
    <r>
      <rPr>
        <b/>
        <sz val="9"/>
        <color rgb="FFFFFFFF"/>
        <rFont val="맑은 고딕"/>
        <family val="3"/>
        <charset val="129"/>
      </rPr>
      <t>]</t>
    </r>
  </si>
  <si>
    <r>
      <rPr>
        <b/>
        <sz val="9"/>
        <color rgb="FFFFFFFF"/>
        <rFont val="맑은 고딕"/>
        <family val="3"/>
        <charset val="129"/>
      </rPr>
      <t>NH</t>
    </r>
    <r>
      <rPr>
        <b/>
        <sz val="9"/>
        <color rgb="FFFFFFFF"/>
        <rFont val="Noto Sans CJK SC"/>
        <family val="2"/>
      </rPr>
      <t xml:space="preserve">농협손보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무</t>
    </r>
    <r>
      <rPr>
        <b/>
        <sz val="9"/>
        <color rgb="FFFFFFFF"/>
        <rFont val="맑은 고딕"/>
        <family val="3"/>
        <charset val="129"/>
      </rPr>
      <t>) All New</t>
    </r>
    <r>
      <rPr>
        <b/>
        <sz val="9"/>
        <color rgb="FFFFFFFF"/>
        <rFont val="Noto Sans CJK SC"/>
        <family val="2"/>
      </rPr>
      <t>리치하우스가정종합보험</t>
    </r>
    <r>
      <rPr>
        <b/>
        <sz val="9"/>
        <color rgb="FFFFFFFF"/>
        <rFont val="맑은 고딕"/>
        <family val="3"/>
        <charset val="129"/>
      </rPr>
      <t>2404
[</t>
    </r>
    <r>
      <rPr>
        <b/>
        <sz val="9"/>
        <color rgb="FFFFFFFF"/>
        <rFont val="Noto Sans CJK SC"/>
        <family val="2"/>
      </rPr>
      <t>비갱신</t>
    </r>
    <r>
      <rPr>
        <b/>
        <sz val="9"/>
        <color rgb="FFFFFFFF"/>
        <rFont val="맑은 고딕"/>
        <family val="3"/>
        <charset val="129"/>
      </rPr>
      <t>]</t>
    </r>
  </si>
  <si>
    <t>합계</t>
  </si>
  <si>
    <t>보험료</t>
  </si>
  <si>
    <r>
      <rPr>
        <sz val="9"/>
        <color rgb="FF0070C0"/>
        <rFont val="맑은 고딕"/>
        <family val="3"/>
        <charset val="129"/>
      </rPr>
      <t>26,800 (</t>
    </r>
    <r>
      <rPr>
        <sz val="9"/>
        <color rgb="FF0070C0"/>
        <rFont val="Noto Sans CJK SC"/>
        <family val="2"/>
      </rPr>
      <t>완납</t>
    </r>
    <r>
      <rPr>
        <sz val="9"/>
        <color rgb="FF0070C0"/>
        <rFont val="맑은 고딕"/>
        <family val="3"/>
        <charset val="129"/>
      </rPr>
      <t>)</t>
    </r>
  </si>
  <si>
    <t>가입년일</t>
  </si>
  <si>
    <t>2014.10.10</t>
  </si>
  <si>
    <t>만기일자</t>
  </si>
  <si>
    <t>2034.10.10</t>
  </si>
  <si>
    <t>총납입기간</t>
  </si>
  <si>
    <r>
      <rPr>
        <sz val="9"/>
        <color rgb="FF0070C0"/>
        <rFont val="맑은 고딕"/>
        <family val="3"/>
        <charset val="129"/>
      </rPr>
      <t>10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3"/>
        <charset val="129"/>
      </rPr>
      <t>(120/120)</t>
    </r>
  </si>
  <si>
    <t>(0/0)</t>
  </si>
  <si>
    <r>
      <rPr>
        <sz val="9"/>
        <color rgb="FFC00000"/>
        <rFont val="맑은 고딕"/>
        <family val="3"/>
        <charset val="129"/>
      </rPr>
      <t>20</t>
    </r>
    <r>
      <rPr>
        <sz val="9"/>
        <color rgb="FFC00000"/>
        <rFont val="Noto Sans CJK SC"/>
        <family val="2"/>
      </rPr>
      <t>년</t>
    </r>
  </si>
  <si>
    <t>사망</t>
  </si>
  <si>
    <t>일반사망</t>
  </si>
  <si>
    <t>중대한CI적용</t>
  </si>
  <si>
    <t>질병사망(80세)</t>
  </si>
  <si>
    <t>교통상해사망</t>
  </si>
  <si>
    <t>상해사망</t>
  </si>
  <si>
    <t>후유장애</t>
  </si>
  <si>
    <t>상해후유3%</t>
  </si>
  <si>
    <t>상해후유80%</t>
  </si>
  <si>
    <t>질병후유3%</t>
  </si>
  <si>
    <t>질병후유80%</t>
  </si>
  <si>
    <t>암</t>
  </si>
  <si>
    <t>고액암</t>
  </si>
  <si>
    <t>통합암</t>
  </si>
  <si>
    <t>일반암</t>
  </si>
  <si>
    <t>중대한 암</t>
  </si>
  <si>
    <t>유사암(갑.기.경.제)</t>
  </si>
  <si>
    <t>통합전이암</t>
  </si>
  <si>
    <t>암주요치료비</t>
  </si>
  <si>
    <t>10억 플랜</t>
  </si>
  <si>
    <t>하이클래스(암)</t>
  </si>
  <si>
    <t>중입자치료비</t>
  </si>
  <si>
    <t>표적항암치료비</t>
  </si>
  <si>
    <t>양성자치료</t>
  </si>
  <si>
    <t>세기조절치료</t>
  </si>
  <si>
    <t>다빈치로봇수술비</t>
  </si>
  <si>
    <t>암수술</t>
  </si>
  <si>
    <t>암일당</t>
  </si>
  <si>
    <t>항암방사선약물</t>
  </si>
  <si>
    <t>뇌혈관</t>
  </si>
  <si>
    <t>뇌혈관진단비</t>
  </si>
  <si>
    <t>뇌졸증진단비</t>
  </si>
  <si>
    <t>중대한 뇌졸증</t>
  </si>
  <si>
    <t>뇌출혈진단비</t>
  </si>
  <si>
    <t>중대한 뇌출혈</t>
  </si>
  <si>
    <t>외상성뇌출혈</t>
  </si>
  <si>
    <t>산정특례뇌혈관</t>
  </si>
  <si>
    <t>2대 주요치료비</t>
  </si>
  <si>
    <t>혈전용해치료비</t>
  </si>
  <si>
    <t>심장</t>
  </si>
  <si>
    <t>협심증</t>
  </si>
  <si>
    <t>심부전</t>
  </si>
  <si>
    <t>빈맥</t>
  </si>
  <si>
    <t>염증</t>
  </si>
  <si>
    <t>부정맥</t>
  </si>
  <si>
    <t>심근병증</t>
  </si>
  <si>
    <t>심장판막</t>
  </si>
  <si>
    <t>산정특례심장</t>
  </si>
  <si>
    <r>
      <rPr>
        <b/>
        <sz val="9"/>
        <color rgb="FF000000"/>
        <rFont val="맑은 고딕"/>
        <family val="3"/>
        <charset val="129"/>
      </rPr>
      <t>2</t>
    </r>
    <r>
      <rPr>
        <b/>
        <sz val="9"/>
        <color rgb="FF000000"/>
        <rFont val="Noto Sans CJK SC"/>
        <family val="2"/>
      </rPr>
      <t>대 주요치료비</t>
    </r>
  </si>
  <si>
    <t>허혈성 진단비</t>
  </si>
  <si>
    <t>급성심근경색</t>
  </si>
  <si>
    <t>중대한 급성심근</t>
  </si>
  <si>
    <t>일당</t>
  </si>
  <si>
    <t>질병일당</t>
  </si>
  <si>
    <t>질병수술일당</t>
  </si>
  <si>
    <t>종합병원 질병입원일당</t>
  </si>
  <si>
    <t>종합병원 상해입원일당</t>
  </si>
  <si>
    <t>상해일당</t>
  </si>
  <si>
    <t>상해수술일당</t>
  </si>
  <si>
    <t>간병인</t>
  </si>
  <si>
    <t>간병인지원일당</t>
  </si>
  <si>
    <t>간호통합병동</t>
  </si>
  <si>
    <r>
      <rPr>
        <b/>
        <sz val="9"/>
        <color rgb="FF000000"/>
        <rFont val="맑은 고딕"/>
        <family val="3"/>
        <charset val="129"/>
      </rPr>
      <t>1</t>
    </r>
    <r>
      <rPr>
        <b/>
        <sz val="9"/>
        <color rgb="FF000000"/>
        <rFont val="Noto Sans CJK SC"/>
        <family val="2"/>
      </rPr>
      <t>인실 종합병원</t>
    </r>
  </si>
  <si>
    <r>
      <rPr>
        <b/>
        <sz val="9"/>
        <color rgb="FF000000"/>
        <rFont val="맑은 고딕"/>
        <family val="3"/>
        <charset val="129"/>
      </rPr>
      <t>1</t>
    </r>
    <r>
      <rPr>
        <b/>
        <sz val="9"/>
        <color rgb="FF000000"/>
        <rFont val="Noto Sans CJK SC"/>
        <family val="2"/>
      </rPr>
      <t>인실 상급병원</t>
    </r>
  </si>
  <si>
    <t>질병중환자실</t>
  </si>
  <si>
    <t>상해중환자실</t>
  </si>
  <si>
    <t>수술</t>
  </si>
  <si>
    <t>상해수술비</t>
  </si>
  <si>
    <t>중대한상해수술비</t>
  </si>
  <si>
    <t>상해 종수술비(1-3종)</t>
  </si>
  <si>
    <t>상해 종수술비(1-5종)</t>
  </si>
  <si>
    <t>20/50/100/500/1000</t>
  </si>
  <si>
    <t>상해 종수술비(1-8종)</t>
  </si>
  <si>
    <t>창상봉합술</t>
  </si>
  <si>
    <t>골절수술비</t>
  </si>
  <si>
    <r>
      <rPr>
        <b/>
        <sz val="9"/>
        <color rgb="FF000000"/>
        <rFont val="맑은 고딕"/>
        <family val="3"/>
        <charset val="129"/>
      </rPr>
      <t>5</t>
    </r>
    <r>
      <rPr>
        <b/>
        <sz val="9"/>
        <color rgb="FF000000"/>
        <rFont val="Noto Sans CJK SC"/>
        <family val="2"/>
      </rPr>
      <t>대골절수술비</t>
    </r>
  </si>
  <si>
    <t>화상수술비</t>
  </si>
  <si>
    <t>질병수술비</t>
  </si>
  <si>
    <t>질병 종수술비(1-3종)</t>
  </si>
  <si>
    <t>질병 종수술비(1-5종)</t>
  </si>
  <si>
    <t>질병 종수술비(1-8종)</t>
  </si>
  <si>
    <t>뇌혈관수술비</t>
  </si>
  <si>
    <t>허혈성수술비</t>
  </si>
  <si>
    <t>심장수술비</t>
  </si>
  <si>
    <r>
      <rPr>
        <b/>
        <sz val="9"/>
        <color rgb="FF000000"/>
        <rFont val="맑은 고딕"/>
        <family val="3"/>
        <charset val="129"/>
      </rPr>
      <t>n</t>
    </r>
    <r>
      <rPr>
        <b/>
        <sz val="9"/>
        <color rgb="FF000000"/>
        <rFont val="Noto Sans CJK SC"/>
        <family val="2"/>
      </rPr>
      <t>대수술비</t>
    </r>
  </si>
  <si>
    <r>
      <rPr>
        <b/>
        <sz val="9"/>
        <color rgb="FF000000"/>
        <rFont val="맑은 고딕"/>
        <family val="3"/>
        <charset val="129"/>
      </rPr>
      <t>5</t>
    </r>
    <r>
      <rPr>
        <b/>
        <sz val="9"/>
        <color rgb="FF000000"/>
        <rFont val="Noto Sans CJK SC"/>
        <family val="2"/>
      </rPr>
      <t>대기관 수술비 관혈</t>
    </r>
  </si>
  <si>
    <r>
      <rPr>
        <b/>
        <sz val="9"/>
        <color rgb="FF000000"/>
        <rFont val="맑은 고딕"/>
        <family val="3"/>
        <charset val="129"/>
      </rPr>
      <t>5</t>
    </r>
    <r>
      <rPr>
        <b/>
        <sz val="9"/>
        <color rgb="FF000000"/>
        <rFont val="Noto Sans CJK SC"/>
        <family val="2"/>
      </rPr>
      <t>대기관 수술비 비관혈</t>
    </r>
  </si>
  <si>
    <t>운전</t>
  </si>
  <si>
    <t>대인</t>
  </si>
  <si>
    <t>대물</t>
  </si>
  <si>
    <t>합의금</t>
  </si>
  <si>
    <r>
      <rPr>
        <b/>
        <sz val="9"/>
        <color rgb="FF000000"/>
        <rFont val="맑은 고딕"/>
        <family val="3"/>
        <charset val="129"/>
      </rPr>
      <t>6</t>
    </r>
    <r>
      <rPr>
        <b/>
        <sz val="9"/>
        <color rgb="FF000000"/>
        <rFont val="Noto Sans CJK SC"/>
        <family val="2"/>
      </rPr>
      <t>주미만</t>
    </r>
  </si>
  <si>
    <t>변호사</t>
  </si>
  <si>
    <t>자부상</t>
  </si>
  <si>
    <t>골절</t>
  </si>
  <si>
    <t>골절(치아파절포함)</t>
  </si>
  <si>
    <t>골절(치아파절제외)</t>
  </si>
  <si>
    <r>
      <rPr>
        <b/>
        <sz val="9"/>
        <color rgb="FF000000"/>
        <rFont val="맑은 고딕"/>
        <family val="3"/>
        <charset val="129"/>
      </rPr>
      <t>5</t>
    </r>
    <r>
      <rPr>
        <b/>
        <sz val="9"/>
        <color rgb="FF000000"/>
        <rFont val="Noto Sans CJK SC"/>
        <family val="2"/>
      </rPr>
      <t>대골절진단비</t>
    </r>
  </si>
  <si>
    <t>응급실</t>
  </si>
  <si>
    <t>응급실(응급)</t>
  </si>
  <si>
    <t>독감</t>
  </si>
  <si>
    <t>화상</t>
  </si>
  <si>
    <t>화상진단비</t>
  </si>
  <si>
    <t>중증화상진단비</t>
  </si>
  <si>
    <t>깁스</t>
  </si>
  <si>
    <t>반깁스</t>
  </si>
  <si>
    <t>깁스진단비</t>
  </si>
  <si>
    <t>실손</t>
  </si>
  <si>
    <t>입원</t>
  </si>
  <si>
    <t>통원</t>
  </si>
  <si>
    <t>약값</t>
  </si>
  <si>
    <t>MRI/도수치료/비급여주사</t>
  </si>
  <si>
    <t>상해의료비</t>
  </si>
  <si>
    <t>일배책</t>
  </si>
  <si>
    <t>일상배상책임</t>
  </si>
  <si>
    <t>바름 보장분석 법칙 v2 — 이 표본에 내장 (2026.06.09)</t>
  </si>
  <si>
    <t>1</t>
  </si>
  <si>
    <t>폼 무변형: 이 표본을 열어 값만 채운다. 새 워크북·행삭제·카테고리축소 금지. 추가만(그룹 안 행삽입), 표 밖 금지.</t>
  </si>
  <si>
    <t>2</t>
  </si>
  <si>
    <t>새 고객 입력 시 이전 고객 값 전부 zero화(이 표본에서 새로 시작).</t>
  </si>
  <si>
    <t>3</t>
  </si>
  <si>
    <t>열=계약(최대 50). 행=담보(15구분·82행). 끝열=합계.</t>
  </si>
  <si>
    <t>4</t>
  </si>
  <si>
    <t>합계 = 세로(계약별) SUM. 4페이지 한장보장 값을 합계칸 직박음 금지(눈속임). 계약별 칸을 채워야 합계가 산다.</t>
  </si>
  <si>
    <t>5</t>
  </si>
  <si>
    <t>계약별 대조 필수: A담보가 B회사 칸으로 가면 안 됨.</t>
  </si>
  <si>
    <t>6</t>
  </si>
  <si>
    <r>
      <rPr>
        <sz val="11"/>
        <color rgb="FF000000"/>
        <rFont val="맑은 고딕"/>
        <family val="3"/>
        <charset val="129"/>
      </rPr>
      <t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>질병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>합계도 종별</t>
    </r>
    <r>
      <rPr>
        <sz val="11"/>
        <color rgb="FF000000"/>
        <rFont val="맑은 고딕"/>
        <family val="3"/>
        <charset val="129"/>
      </rPr>
      <t>.</t>
    </r>
  </si>
  <si>
    <t>7</t>
  </si>
  <si>
    <t>갱신/비갱신: ①갱신형명시→갱신 ②운전자→비갱신 ③9999→비갱신 ④총회차240초과→비갱신 ⑤납입년수≠보장년수→비갱신.</t>
  </si>
  <si>
    <t>8</t>
  </si>
  <si>
    <t>색: 갱신=파랑 / 비갱신=검정 / 미가입=빨강. 구분셀=연두. 헤더 갱신블루·비갱신레드·완납진녹.</t>
  </si>
  <si>
    <t>9</t>
  </si>
  <si>
    <t>심장=담보명 직행(허혈성→허혈성칸, 전파금지). 불확정은 기재+[확인].</t>
  </si>
  <si>
    <t>10</t>
  </si>
  <si>
    <r>
      <rPr>
        <sz val="11"/>
        <color rgb="FF000000"/>
        <rFont val="맑은 고딕"/>
        <family val="3"/>
        <charset val="129"/>
      </rPr>
      <t>9999(</t>
    </r>
    <r>
      <rPr>
        <sz val="11"/>
        <color rgb="FF000000"/>
        <rFont val="Noto Sans CJK SC"/>
        <family val="2"/>
      </rPr>
      <t>생보</t>
    </r>
    <r>
      <rPr>
        <sz val="11"/>
        <color rgb="FF000000"/>
        <rFont val="맑은 고딕"/>
        <family val="3"/>
        <charset val="129"/>
      </rPr>
      <t>)=</t>
    </r>
    <r>
      <rPr>
        <sz val="11"/>
        <color rgb="FF000000"/>
        <rFont val="Noto Sans CJK SC"/>
        <family val="2"/>
      </rPr>
      <t>종신 → 일반사망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종신</t>
    </r>
    <r>
      <rPr>
        <sz val="11"/>
        <color rgb="FF000000"/>
        <rFont val="맑은 고딕"/>
        <family val="3"/>
        <charset val="129"/>
      </rPr>
      <t>)+</t>
    </r>
    <r>
      <rPr>
        <sz val="11"/>
        <color rgb="FF000000"/>
        <rFont val="Noto Sans CJK SC"/>
        <family val="2"/>
      </rPr>
      <t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손보 질병사망</t>
    </r>
    <r>
      <rPr>
        <sz val="11"/>
        <color rgb="FF000000"/>
        <rFont val="맑은 고딕"/>
        <family val="3"/>
        <charset val="129"/>
      </rPr>
      <t>=80</t>
    </r>
    <r>
      <rPr>
        <sz val="11"/>
        <color rgb="FF000000"/>
        <rFont val="Noto Sans CJK SC"/>
        <family val="2"/>
      </rPr>
      <t>세칸</t>
    </r>
    <r>
      <rPr>
        <sz val="11"/>
        <color rgb="FF000000"/>
        <rFont val="맑은 고딕"/>
        <family val="3"/>
        <charset val="129"/>
      </rPr>
      <t>.</t>
    </r>
  </si>
  <si>
    <t>11</t>
  </si>
  <si>
    <t>추측 금지: 모르면 빈칸+[확인]. 채우는 게 최악, 비우고 메모가 차선, 확정 기재가 최선. 자동천장 95%.</t>
  </si>
  <si>
    <t>12</t>
  </si>
  <si>
    <t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</si>
  <si>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사공정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>2026.08.09</t>
    </r>
  </si>
  <si>
    <t>계약수</t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</si>
  <si>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감사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규칙 </t>
    </r>
    <r>
      <rPr>
        <sz val="11"/>
        <color rgb="FF000000"/>
        <rFont val="맑은 고딕"/>
        <family val="3"/>
        <charset val="129"/>
      </rPr>
      <t xml:space="preserve">58/58 · </t>
    </r>
    <r>
      <rPr>
        <sz val="11"/>
        <color rgb="FF000000"/>
        <rFont val="Noto Sans CJK SC"/>
        <family val="2"/>
      </rPr>
      <t xml:space="preserve">마스터커버리지 </t>
    </r>
    <r>
      <rPr>
        <sz val="11"/>
        <color rgb="FF000000"/>
        <rFont val="맑은 고딕"/>
        <family val="3"/>
        <charset val="129"/>
      </rPr>
      <t>99/99 · FAIL 0</t>
    </r>
    <r>
      <rPr>
        <sz val="11"/>
        <color rgb="FF000000"/>
        <rFont val="Noto Sans CJK SC"/>
        <family val="2"/>
      </rPr>
      <t>건</t>
    </r>
  </si>
  <si>
    <t>월보험료합계</t>
  </si>
  <si>
    <r>
      <rPr>
        <sz val="11"/>
        <color rgb="FF000000"/>
        <rFont val="맑은 고딕"/>
        <family val="3"/>
        <charset val="129"/>
      </rPr>
      <t>159,644</t>
    </r>
    <r>
      <rPr>
        <sz val="11"/>
        <color rgb="FF000000"/>
        <rFont val="Noto Sans CJK SC"/>
        <family val="2"/>
      </rPr>
      <t xml:space="preserve">원 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 xml:space="preserve">완납 제외 </t>
    </r>
    <r>
      <rPr>
        <sz val="11"/>
        <color rgb="FF000000"/>
        <rFont val="맑은 고딕"/>
        <family val="3"/>
        <charset val="129"/>
      </rPr>
      <t>26,800</t>
    </r>
    <r>
      <rPr>
        <sz val="11"/>
        <color rgb="FF000000"/>
        <rFont val="Noto Sans CJK SC"/>
        <family val="2"/>
      </rPr>
      <t>원</t>
    </r>
    <r>
      <rPr>
        <sz val="11"/>
        <color rgb="FF000000"/>
        <rFont val="맑은 고딕"/>
        <family val="3"/>
        <charset val="129"/>
      </rPr>
      <t>)</t>
    </r>
  </si>
  <si>
    <r>
      <rPr>
        <b/>
        <sz val="12"/>
        <color rgb="FF1F7A1F"/>
        <rFont val="Cambria"/>
        <family val="1"/>
      </rPr>
      <t>[</t>
    </r>
    <r>
      <rPr>
        <b/>
        <sz val="12"/>
        <color rgb="FF1F7A1F"/>
        <rFont val="Noto Sans CJK SC"/>
        <family val="2"/>
      </rPr>
      <t>검산</t>
    </r>
    <r>
      <rPr>
        <b/>
        <sz val="12"/>
        <color rgb="FF1F7A1F"/>
        <rFont val="Cambria"/>
        <family val="1"/>
      </rPr>
      <t xml:space="preserve">] </t>
    </r>
    <r>
      <rPr>
        <b/>
        <sz val="12"/>
        <color rgb="FF1F7A1F"/>
        <rFont val="Noto Sans CJK SC"/>
        <family val="2"/>
      </rPr>
      <t xml:space="preserve">한장보장표 대비 불일치 </t>
    </r>
    <r>
      <rPr>
        <b/>
        <sz val="12"/>
        <color rgb="FF1F7A1F"/>
        <rFont val="Cambria"/>
        <family val="1"/>
      </rPr>
      <t>0</t>
    </r>
    <r>
      <rPr>
        <b/>
        <sz val="12"/>
        <color rgb="FF1F7A1F"/>
        <rFont val="Noto Sans CJK SC"/>
        <family val="2"/>
      </rPr>
      <t>건 — 전 항목 일치</t>
    </r>
  </si>
  <si>
    <r>
      <rPr>
        <b/>
        <sz val="12"/>
        <color rgb="FFC0392B"/>
        <rFont val="Cambria"/>
        <family val="1"/>
      </rPr>
      <t>[</t>
    </r>
    <r>
      <rPr>
        <b/>
        <sz val="12"/>
        <color rgb="FFC0392B"/>
        <rFont val="Noto Sans CJK SC"/>
        <family val="2"/>
      </rPr>
      <t>확인</t>
    </r>
    <r>
      <rPr>
        <b/>
        <sz val="12"/>
        <color rgb="FFC0392B"/>
        <rFont val="Cambria"/>
        <family val="1"/>
      </rPr>
      <t xml:space="preserve">] </t>
    </r>
    <r>
      <rPr>
        <b/>
        <sz val="12"/>
        <color rgb="FFC0392B"/>
        <rFont val="Noto Sans CJK SC"/>
        <family val="2"/>
      </rPr>
      <t xml:space="preserve">자동매핑 실패 담보 </t>
    </r>
    <r>
      <rPr>
        <b/>
        <sz val="12"/>
        <color rgb="FFC0392B"/>
        <rFont val="Cambria"/>
        <family val="1"/>
      </rPr>
      <t>22</t>
    </r>
    <r>
      <rPr>
        <b/>
        <sz val="12"/>
        <color rgb="FFC0392B"/>
        <rFont val="Noto Sans CJK SC"/>
        <family val="2"/>
      </rPr>
      <t xml:space="preserve">건  —  ★결함의심 </t>
    </r>
    <r>
      <rPr>
        <b/>
        <sz val="12"/>
        <color rgb="FFC0392B"/>
        <rFont val="Cambria"/>
        <family val="1"/>
      </rPr>
      <t>9</t>
    </r>
    <r>
      <rPr>
        <b/>
        <sz val="12"/>
        <color rgb="FFC0392B"/>
        <rFont val="Noto Sans CJK SC"/>
        <family val="2"/>
      </rPr>
      <t xml:space="preserve">건 </t>
    </r>
    <r>
      <rPr>
        <b/>
        <sz val="12"/>
        <color rgb="FFC0392B"/>
        <rFont val="Cambria"/>
        <family val="1"/>
      </rPr>
      <t xml:space="preserve">· </t>
    </r>
    <r>
      <rPr>
        <b/>
        <sz val="12"/>
        <color rgb="FFC0392B"/>
        <rFont val="Noto Sans CJK SC"/>
        <family val="2"/>
      </rPr>
      <t xml:space="preserve">규칙제외 </t>
    </r>
    <r>
      <rPr>
        <b/>
        <sz val="12"/>
        <color rgb="FFC0392B"/>
        <rFont val="Cambria"/>
        <family val="1"/>
      </rPr>
      <t>3</t>
    </r>
    <r>
      <rPr>
        <b/>
        <sz val="12"/>
        <color rgb="FFC0392B"/>
        <rFont val="Noto Sans CJK SC"/>
        <family val="2"/>
      </rPr>
      <t xml:space="preserve">건 </t>
    </r>
    <r>
      <rPr>
        <b/>
        <sz val="12"/>
        <color rgb="FFC0392B"/>
        <rFont val="Cambria"/>
        <family val="1"/>
      </rPr>
      <t xml:space="preserve">· </t>
    </r>
    <r>
      <rPr>
        <b/>
        <sz val="12"/>
        <color rgb="FFC0392B"/>
        <rFont val="Noto Sans CJK SC"/>
        <family val="2"/>
      </rPr>
      <t xml:space="preserve">마스터 무행 </t>
    </r>
    <r>
      <rPr>
        <b/>
        <sz val="12"/>
        <color rgb="FFC0392B"/>
        <rFont val="Cambria"/>
        <family val="1"/>
      </rPr>
      <t>10</t>
    </r>
    <r>
      <rPr>
        <b/>
        <sz val="12"/>
        <color rgb="FFC0392B"/>
        <rFont val="Noto Sans CJK SC"/>
        <family val="2"/>
      </rPr>
      <t>건</t>
    </r>
  </si>
  <si>
    <t>회사</t>
  </si>
  <si>
    <t>담보명</t>
  </si>
  <si>
    <r>
      <rPr>
        <sz val="11"/>
        <color rgb="FF000000"/>
        <rFont val="Noto Sans CJK SC"/>
        <family val="2"/>
      </rPr>
      <t>금액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만원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</si>
  <si>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보장범위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참고</t>
    </r>
    <r>
      <rPr>
        <sz val="11"/>
        <color rgb="FF000000"/>
        <rFont val="맑은 고딕"/>
        <family val="3"/>
        <charset val="129"/>
      </rPr>
      <t>)</t>
    </r>
  </si>
  <si>
    <t>약관검색</t>
  </si>
  <si>
    <t>분류</t>
  </si>
  <si>
    <t>분류 근거</t>
  </si>
  <si>
    <r>
      <rPr>
        <sz val="11"/>
        <color rgb="FF000000"/>
        <rFont val="맑은 고딕"/>
        <family val="3"/>
        <charset val="129"/>
      </rPr>
      <t>DB</t>
    </r>
    <r>
      <rPr>
        <sz val="11"/>
        <color rgb="FF000000"/>
        <rFont val="Noto Sans CJK SC"/>
        <family val="2"/>
      </rPr>
      <t>손해보험</t>
    </r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</si>
  <si>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중환자실입</t>
    </r>
  </si>
  <si>
    <r>
      <rPr>
        <sz val="11"/>
        <color rgb="FF000000"/>
        <rFont val="Noto Sans CJK SC"/>
        <family val="2"/>
      </rPr>
      <t xml:space="preserve">괄호 미닫힘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담보명 잘림 의심 → </t>
    </r>
    <r>
      <rPr>
        <sz val="11"/>
        <color rgb="FF000000"/>
        <rFont val="맑은 고딕"/>
        <family val="3"/>
        <charset val="129"/>
      </rPr>
      <t>&lt;b&gt;</t>
    </r>
    <r>
      <rPr>
        <sz val="11"/>
        <color rgb="FF000000"/>
        <rFont val="Noto Sans CJK SC"/>
        <family val="2"/>
      </rPr>
      <t>세부가입현황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계약별 가입정보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에서 대조</t>
    </r>
    <r>
      <rPr>
        <sz val="11"/>
        <color rgb="FF000000"/>
        <rFont val="맑은 고딕"/>
        <family val="3"/>
        <charset val="129"/>
      </rPr>
      <t>&lt;/b&gt;</t>
    </r>
  </si>
  <si>
    <t>https://search.naver.com/search.naver?query=DB%EC%86%90%ED%95%B4%EB%B3%B4%ED%97%98%20%20%5B%EC%A0%91%ED%9E%98%EC%9D%98%EC%8B%AC%5D%20%EC%95%94%EC%A3%BC%EC%9A%94%EC%B9%98%EB%A3%8C%20%EC%95%BD%EA%B4%80%20%EB%B3%B4%EC%9E%A5%EB%82%B4%EC%9A%A9</t>
  </si>
  <si>
    <t>★결함의심</t>
  </si>
  <si>
    <t>담보명 잘림 — 별첨 원문 대조 필요</t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</si>
  <si>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항암방사선</t>
    </r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</si>
  <si>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항암약물치</t>
    </r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</si>
  <si>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유사암주요치료비Ⅲ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항암방</t>
    </r>
  </si>
  <si>
    <t>https://search.naver.com/search.naver?query=DB%EC%86%90%ED%95%B4%EB%B3%B4%ED%97%98%20%20%5B%EC%A0%91%ED%9E%98%EC%9D%98%EC%8B%AC%5D%20%EC%9C%A0%EC%82%AC%EC%95%94%EC%A3%BC%EC%9A%94%20%EC%95%BD%EA%B4%80%20%EB%B3%B4%EC%9E%A5%EB%82%B4%EC%9A%A9</t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</si>
  <si>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유사암주요치료비Ⅲ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항암약</t>
    </r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</si>
  <si>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유사암주요치료비Ⅲ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중환자</t>
    </r>
  </si>
  <si>
    <r>
      <rPr>
        <sz val="11"/>
        <color rgb="FF000000"/>
        <rFont val="Noto Sans CJK SC"/>
        <family val="2"/>
      </rPr>
      <t>특정항암호르몬약물허가치료비Ⅱ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유사암제외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</si>
  <si>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20%ED%8A%B9%EC%A0%95%ED%95%AD%EC%95%94%ED%98%B8%EB%A5%B4%EB%AA%AC%EC%95%BD%EB%AC%BC%ED%97%88%EA%B0%80%EC%B9%98%20%EC%95%BD%EA%B4%80%20%EB%B3%B4%EC%9E%A5%EB%82%B4%EC%9A%A9</t>
  </si>
  <si>
    <r>
      <rPr>
        <sz val="11"/>
        <color rgb="FF000000"/>
        <rFont val="Noto Sans CJK SC"/>
        <family val="2"/>
      </rPr>
      <t>마스터 「유사암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갑</t>
    </r>
    <r>
      <rPr>
        <sz val="11"/>
        <color rgb="FF000000"/>
        <rFont val="맑은 고딕"/>
        <family val="3"/>
        <charset val="129"/>
      </rPr>
      <t>.</t>
    </r>
    <r>
      <rPr>
        <sz val="11"/>
        <color rgb="FF000000"/>
        <rFont val="Noto Sans CJK SC"/>
        <family val="2"/>
      </rPr>
      <t>기</t>
    </r>
    <r>
      <rPr>
        <sz val="11"/>
        <color rgb="FF000000"/>
        <rFont val="맑은 고딕"/>
        <family val="3"/>
        <charset val="129"/>
      </rPr>
      <t>.</t>
    </r>
    <r>
      <rPr>
        <sz val="11"/>
        <color rgb="FF000000"/>
        <rFont val="Noto Sans CJK SC"/>
        <family val="2"/>
      </rPr>
      <t>경</t>
    </r>
    <r>
      <rPr>
        <sz val="11"/>
        <color rgb="FF000000"/>
        <rFont val="맑은 고딕"/>
        <family val="3"/>
        <charset val="129"/>
      </rPr>
      <t>.</t>
    </r>
    <r>
      <rPr>
        <sz val="11"/>
        <color rgb="FF000000"/>
        <rFont val="Noto Sans CJK SC"/>
        <family val="2"/>
      </rPr>
      <t>제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」 행 있음 → 그 행에 들어갔어야 함</t>
    </r>
  </si>
  <si>
    <t>우정사업본부</t>
  </si>
  <si>
    <t>급성심근경색증수술급부금</t>
  </si>
  <si>
    <t>https://search.naver.com/search.naver?query=%EC%9A%B0%EC%A0%95%EC%82%AC%EC%97%85%EB%B3%B8%EB%B6%80%20%EB%AC%B4%EB%B0%B0%EB%8B%B9%20%EC%9A%B0%EC%B2%B4%EA%B5%AD%ED%81%B0%EB%B3%91%ED%81%B0%EB%B3%B4%EC%9E%A5%EB%B3%B4%ED%97%98%20%EA%B0%B1%EC%8B%A0%ED%98%95%20%EA%B8%89%EC%84%B1%EC%8B%AC%EA%B7%BC%EA%B2%BD%EC%83%89%EC%A6%9D%EC%88%98%EC%88%A0%EA%B8%89%EB%B6%80%EA%B8%88%20%EC%95%BD%EA%B4%80%20%EB%B3%B4%EC%9E%A5%EB%82%B4%EC%9A%A9</t>
  </si>
  <si>
    <t>마스터 「급성심근경색」 행 있음 → 그 행에 들어갔어야 함</t>
  </si>
  <si>
    <t>급성심근경색증입원급부금</t>
  </si>
  <si>
    <t>https://search.naver.com/search.naver?query=%EC%9A%B0%EC%A0%95%EC%82%AC%EC%97%85%EB%B3%B8%EB%B6%80%20%EB%AC%B4%EB%B0%B0%EB%8B%B9%20%EC%9A%B0%EC%B2%B4%EA%B5%AD%ED%81%B0%EB%B3%91%ED%81%B0%EB%B3%B4%EC%9E%A5%EB%B3%B4%ED%97%98%20%EA%B0%B1%EC%8B%A0%ED%98%95%20%EA%B8%89%EC%84%B1%EC%8B%AC%EA%B7%BC%EA%B2%BD%EC%83%89%EC%A6%9D%EC%9E%85%EC%9B%90%EA%B8%89%EB%B6%80%EA%B8%88%20%EC%95%BD%EA%B4%80%20%EB%B3%B4%EC%9E%A5%EB%82%B4%EC%9A%A9</t>
  </si>
  <si>
    <r>
      <rPr>
        <sz val="11"/>
        <color rgb="FF000000"/>
        <rFont val="Noto Sans CJK SC"/>
        <family val="2"/>
      </rPr>
      <t>상해수술비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</si>
  <si>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20%EC%83%81%ED%95%B4%EC%88%98%EC%88%A0%EB%B9%84%28%EC%83%81%EA%B8%89%EC%A2%85%ED%95%A9%EB%B3%91%EC%9B%90%20%EC%95%BD%EA%B4%80%20%EB%B3%B4%EC%9E%A5%EB%82%B4%EC%9A%A9</t>
  </si>
  <si>
    <t>규칙제외</t>
  </si>
  <si>
    <r>
      <rPr>
        <sz val="11"/>
        <color rgb="FF000000"/>
        <rFont val="Noto Sans CJK SC"/>
        <family val="2"/>
      </rPr>
      <t xml:space="preserve">상급병원 입원일당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>기재금지</t>
    </r>
    <r>
      <rPr>
        <sz val="11"/>
        <color rgb="FF000000"/>
        <rFont val="맑은 고딕"/>
        <family val="3"/>
        <charset val="129"/>
      </rPr>
      <t>(v301)</t>
    </r>
  </si>
  <si>
    <r>
      <rPr>
        <sz val="11"/>
        <color rgb="FF000000"/>
        <rFont val="Noto Sans CJK SC"/>
        <family val="2"/>
      </rPr>
      <t>보험료납입면제대상보장</t>
    </r>
    <r>
      <rPr>
        <sz val="11"/>
        <color rgb="FF000000"/>
        <rFont val="맑은 고딕"/>
        <family val="3"/>
        <charset val="129"/>
      </rPr>
      <t>(5</t>
    </r>
    <r>
      <rPr>
        <sz val="11"/>
        <color rgb="FF000000"/>
        <rFont val="Noto Sans CJK SC"/>
        <family val="2"/>
      </rPr>
      <t>대사유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</si>
  <si>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20%EB%B3%B4%ED%97%98%EB%A3%8C%EB%82%A9%EC%9E%85%EB%A9%B4%EC%A0%9C%EB%8C%80%EC%83%81%EB%B3%B4%EC%9E%A5%28%20%EC%95%BD%EA%B4%80%20%EB%B3%B4%EC%9E%A5%EB%82%B4%EC%9A%A9</t>
  </si>
  <si>
    <r>
      <rPr>
        <sz val="11"/>
        <color rgb="FF000000"/>
        <rFont val="Noto Sans CJK SC"/>
        <family val="2"/>
      </rPr>
      <t>납입면제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 xml:space="preserve">납입지원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>비담보</t>
    </r>
    <r>
      <rPr>
        <sz val="11"/>
        <color rgb="FF000000"/>
        <rFont val="맑은 고딕"/>
        <family val="3"/>
        <charset val="129"/>
      </rPr>
      <t>(§8.6)</t>
    </r>
  </si>
  <si>
    <r>
      <rPr>
        <sz val="11"/>
        <color rgb="FF000000"/>
        <rFont val="Noto Sans CJK SC"/>
        <family val="2"/>
      </rPr>
      <t>보험료납입지원보장Ⅲ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유사암진단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</si>
  <si>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20%EB%B3%B4%ED%97%98%EB%A3%8C%EB%82%A9%EC%9E%85%EC%A7%80%EC%9B%90%EB%B3%B4%EC%9E%A5%E2%85%A2%28%EC%9C%A0%20%EC%95%BD%EA%B4%80%20%EB%B3%B4%EC%9E%A5%EB%82%B4%EC%9A%A9</t>
  </si>
  <si>
    <r>
      <rPr>
        <sz val="11"/>
        <color rgb="FF000000"/>
        <rFont val="맑은 고딕"/>
        <family val="3"/>
        <charset val="129"/>
      </rPr>
      <t>NH</t>
    </r>
    <r>
      <rPr>
        <sz val="11"/>
        <color rgb="FF000000"/>
        <rFont val="Noto Sans CJK SC"/>
        <family val="2"/>
      </rPr>
      <t>농협손보</t>
    </r>
  </si>
  <si>
    <t>화재벌금</t>
  </si>
  <si>
    <t>https://search.naver.com/search.naver?query=NH%EB%86%8D%ED%98%91%EC%86%90%EB%B3%B4%20%EB%AC%B4%20%20All%20New%EB%A6%AC%EC%B9%98%ED%95%98%EC%9A%B0%EC%8A%A4%EA%B0%80%EC%A0%95%20%ED%99%94%EC%9E%AC%EB%B2%8C%EA%B8%88%20%EC%95%BD%EA%B4%80%20%EB%B3%B4%EC%9E%A5%EB%82%B4%EC%9A%A9</t>
  </si>
  <si>
    <t>마스터 무행</t>
  </si>
  <si>
    <t>해당 담보 행 없음 — 기재 대상 아님</t>
  </si>
  <si>
    <t>민사소송 법률비용</t>
  </si>
  <si>
    <t>https://search.naver.com/search.naver?query=NH%EB%86%8D%ED%98%91%EC%86%90%EB%B3%B4%20%EB%AC%B4%20%20All%20New%EB%A6%AC%EC%B9%98%ED%95%98%EC%9A%B0%EC%8A%A4%EA%B0%80%EC%A0%95%20%EB%AF%BC%EC%82%AC%EC%86%8C%EC%86%A1%20%EB%B2%95%EB%A5%A0%EB%B9%84%EC%9A%A9%20%EC%95%BD%EA%B4%80%20%EB%B3%B4%EC%9E%A5%EB%82%B4%EC%9A%A9</t>
  </si>
  <si>
    <t>과실치사상 벌금</t>
  </si>
  <si>
    <t>https://search.naver.com/search.naver?query=NH%EB%86%8D%ED%98%91%EC%86%90%EB%B3%B4%20%EB%AC%B4%20%20All%20New%EB%A6%AC%EC%B9%98%ED%95%98%EC%9A%B0%EC%8A%A4%EA%B0%80%EC%A0%95%20%EA%B3%BC%EC%8B%A4%EC%B9%98%EC%82%AC%EC%83%81%20%EB%B2%8C%EA%B8%88%20%EC%95%BD%EA%B4%80%20%EB%B3%B4%EC%9E%A5%EB%82%B4%EC%9A%A9</t>
  </si>
  <si>
    <r>
      <rPr>
        <sz val="11"/>
        <color rgb="FF000000"/>
        <rFont val="맑은 고딕"/>
        <family val="3"/>
        <charset val="129"/>
      </rPr>
      <t>4</t>
    </r>
    <r>
      <rPr>
        <sz val="11"/>
        <color rgb="FF000000"/>
        <rFont val="Noto Sans CJK SC"/>
        <family val="2"/>
      </rPr>
      <t>대순환계질환진단비Ⅱ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특정하지정맥류질환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</si>
  <si>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204%EB%8C%80%EC%88%9C%ED%99%98%EA%B3%84%EC%A7%88%ED%99%98%EC%A7%84%EB%8B%A8%EB%B9%84%E2%85%A1%28%20%EC%95%BD%EA%B4%80%20%EB%B3%B4%EC%9E%A5%EB%82%B4%EC%9A%A9</t>
  </si>
  <si>
    <t>뇌출혈수술급부금</t>
  </si>
  <si>
    <t>https://search.naver.com/search.naver?query=%EC%9A%B0%EC%A0%95%EC%82%AC%EC%97%85%EB%B3%B8%EB%B6%80%20%EB%AC%B4%EB%B0%B0%EB%8B%B9%20%EC%9A%B0%EC%B2%B4%EA%B5%AD%ED%81%B0%EB%B3%91%ED%81%B0%EB%B3%B4%EC%9E%A5%EB%B3%B4%ED%97%98%20%EA%B0%B1%EC%8B%A0%ED%98%95%20%EB%87%8C%EC%B6%9C%ED%98%88%EC%88%98%EC%88%A0%EA%B8%89%EB%B6%80%EA%B8%88%20%EC%95%BD%EA%B4%80%20%EB%B3%B4%EC%9E%A5%EB%82%B4%EC%9A%A9</t>
  </si>
  <si>
    <r>
      <rPr>
        <sz val="11"/>
        <color rgb="FF000000"/>
        <rFont val="Noto Sans CJK SC"/>
        <family val="2"/>
      </rPr>
      <t>갑상선암호르몬약물허가치료비Ⅱ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</si>
  <si>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20%EA%B0%91%EC%83%81%EC%84%A0%EC%95%94%ED%98%B8%EB%A5%B4%EB%AA%AC%EC%95%BD%EB%AC%BC%ED%97%88%EA%B0%80%EC%B9%98%20%EC%95%BD%EA%B4%80%20%EB%B3%B4%EC%9E%A5%EB%82%B4%EC%9A%A9</t>
  </si>
  <si>
    <t>경계성종양수술</t>
  </si>
  <si>
    <t>https://search.naver.com/search.naver?query=%EC%9A%B0%EC%A0%95%EC%82%AC%EC%97%85%EB%B3%B8%EB%B6%80%20%EB%AC%B4%EB%B0%B0%EB%8B%B9%20%EC%9A%B0%EC%B2%B4%EA%B5%AD%ED%81%B0%EB%B3%91%ED%81%B0%EB%B3%B4%EC%9E%A5%EB%B3%B4%ED%97%98%20%EA%B0%B1%EC%8B%A0%ED%98%95%20%EA%B2%BD%EA%B3%84%EC%84%B1%EC%A2%85%EC%96%91%EC%88%98%EC%88%A0%20%EC%95%BD%EA%B4%80%20%EB%B3%B4%EC%9E%A5%EB%82%B4%EC%9A%A9</t>
  </si>
  <si>
    <r>
      <rPr>
        <sz val="11"/>
        <color rgb="FF000000"/>
        <rFont val="Noto Sans CJK SC"/>
        <family val="2"/>
      </rPr>
      <t>충수염수술비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맹장염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</si>
  <si>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t>https://search.naver.com/search.naver?query=DB%EC%86%90%ED%95%B4%EB%B3%B4%ED%97%98%20%EB%82%98%EC%97%90%EA%B2%8C%20%EB%A7%9E%EC%B6%98%20%EB%8D%94%EC%A2%8B%EC%9D%80%20%EC%B4%88%EA%B2%BD%EC%A6%9D%20%EA%B0%84%ED%8E%B8%EA%B1%B4%20%EC%B6%A9%EC%88%98%EC%97%BC%EC%88%98%EC%88%A0%EB%B9%84%28%EB%A7%B9%EC%9E%A5%EC%97%BC%29%28%20%EC%95%BD%EA%B4%80%20%EB%B3%B4%EC%9E%A5%EB%82%B4%EC%9A%A9</t>
  </si>
  <si>
    <t>뇌출혈입원급부금</t>
  </si>
  <si>
    <t>https://search.naver.com/search.naver?query=%EC%9A%B0%EC%A0%95%EC%82%AC%EC%97%85%EB%B3%B8%EB%B6%80%20%EB%AC%B4%EB%B0%B0%EB%8B%B9%20%EC%9A%B0%EC%B2%B4%EA%B5%AD%ED%81%B0%EB%B3%91%ED%81%B0%EB%B3%B4%EC%9E%A5%EB%B3%B4%ED%97%98%20%EA%B0%B1%EC%8B%A0%ED%98%95%20%EB%87%8C%EC%B6%9C%ED%98%88%EC%9E%85%EC%9B%90%EA%B8%89%EB%B6%80%EA%B8%88%20%EC%95%BD%EA%B4%80%20%EB%B3%B4%EC%9E%A5%EB%82%B4%EC%9A%A9</t>
  </si>
  <si>
    <t>경계성종양직접치료입원급부금</t>
  </si>
  <si>
    <t>https://search.naver.com/search.naver?query=%EC%9A%B0%EC%A0%95%EC%82%AC%EC%97%85%EB%B3%B8%EB%B6%80%20%EB%AC%B4%EB%B0%B0%EB%8B%B9%20%EC%9A%B0%EC%B2%B4%EA%B5%AD%ED%81%B0%EB%B3%91%ED%81%B0%EB%B3%B4%EC%9E%A5%EB%B3%B4%ED%97%98%20%EA%B0%B1%EC%8B%A0%ED%98%95%20%EA%B2%BD%EA%B3%84%EC%84%B1%EC%A2%85%EC%96%91%EC%A7%81%EC%A0%91%EC%B9%98%EB%A3%8C%EC%9E%85%EC%9B%90%EA%B8%89%20%EC%95%BD%EA%B4%80%20%EB%B3%B4%EC%9E%A5%EB%82%B4%EC%9A%A9</t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</si>
  <si>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>별첨 원문 그대로</t>
    </r>
  </si>
  <si>
    <t>별첨 원 담보명</t>
  </si>
  <si>
    <t>기재 행</t>
  </si>
  <si>
    <t>급성심근경색진단</t>
  </si>
  <si>
    <r>
      <rPr>
        <sz val="11"/>
        <color rgb="FF000000"/>
        <rFont val="Noto Sans CJK SC"/>
        <family val="2"/>
      </rPr>
      <t>심장질환진단비Ⅱ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특정Ⅱ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</si>
  <si>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순환계질환</t>
    </r>
    <r>
      <rPr>
        <sz val="11"/>
        <color rgb="FF000000"/>
        <rFont val="맑은 고딕"/>
        <family val="3"/>
        <charset val="129"/>
      </rPr>
      <t>(3-5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주요치료비Ⅳ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수술시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매회지급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</si>
  <si>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맑은 고딕"/>
        <family val="3"/>
        <charset val="129"/>
      </rPr>
      <t>2</t>
    </r>
    <r>
      <rPr>
        <sz val="11"/>
        <color rgb="FF000000"/>
        <rFont val="Noto Sans CJK SC"/>
        <family val="2"/>
      </rPr>
      <t>대 주요치료비</t>
    </r>
  </si>
  <si>
    <r>
      <rPr>
        <sz val="11"/>
        <color rgb="FF000000"/>
        <rFont val="Noto Sans CJK SC"/>
        <family val="2"/>
      </rPr>
      <t>순환계질환</t>
    </r>
    <r>
      <rPr>
        <sz val="11"/>
        <color rgb="FF000000"/>
        <rFont val="맑은 고딕"/>
        <family val="3"/>
        <charset val="129"/>
      </rPr>
      <t>(3-5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주요치료비Ⅳ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종합병원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중환자실입원시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연간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</si>
  <si>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순환계질환</t>
    </r>
    <r>
      <rPr>
        <sz val="11"/>
        <color rgb="FF000000"/>
        <rFont val="맑은 고딕"/>
        <family val="3"/>
        <charset val="129"/>
      </rPr>
      <t>(3-5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주요치료비Ⅳ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혈전용해치료시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뇌혈관질환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연간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</si>
  <si>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순환계질환</t>
    </r>
    <r>
      <rPr>
        <sz val="11"/>
        <color rgb="FF000000"/>
        <rFont val="맑은 고딕"/>
        <family val="3"/>
        <charset val="129"/>
      </rPr>
      <t>(3-5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주요치료비Ⅳ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혈전용해치료시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심혈관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Noto Sans CJK SC"/>
        <family val="2"/>
      </rPr>
      <t>기타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연간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</si>
  <si>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협심증</t>
    </r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심장묶음</t>
    </r>
    <r>
      <rPr>
        <sz val="11"/>
        <color rgb="FF000000"/>
        <rFont val="맑은 고딕"/>
        <family val="3"/>
        <charset val="129"/>
      </rPr>
      <t>]</t>
    </r>
  </si>
  <si>
    <r>
      <rPr>
        <sz val="11"/>
        <color rgb="FF000000"/>
        <rFont val="Noto Sans CJK SC"/>
        <family val="2"/>
      </rPr>
      <t>주요심장염증</t>
    </r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심장묶음</t>
    </r>
    <r>
      <rPr>
        <sz val="11"/>
        <color rgb="FF000000"/>
        <rFont val="맑은 고딕"/>
        <family val="3"/>
        <charset val="129"/>
      </rPr>
      <t>]</t>
    </r>
  </si>
  <si>
    <r>
      <rPr>
        <sz val="11"/>
        <color rgb="FF000000"/>
        <rFont val="Noto Sans CJK SC"/>
        <family val="2"/>
      </rPr>
      <t>심부전</t>
    </r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심장묶음</t>
    </r>
    <r>
      <rPr>
        <sz val="11"/>
        <color rgb="FF000000"/>
        <rFont val="맑은 고딕"/>
        <family val="3"/>
        <charset val="129"/>
      </rPr>
      <t>]</t>
    </r>
  </si>
  <si>
    <r>
      <rPr>
        <sz val="11"/>
        <color rgb="FF000000"/>
        <rFont val="Noto Sans CJK SC"/>
        <family val="2"/>
      </rPr>
      <t>부정맥</t>
    </r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심장묶음</t>
    </r>
    <r>
      <rPr>
        <sz val="11"/>
        <color rgb="FF000000"/>
        <rFont val="맑은 고딕"/>
        <family val="3"/>
        <charset val="129"/>
      </rPr>
      <t>]</t>
    </r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</si>
  <si>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원 담보명 → 기재 행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Noto Sans CJK SC"/>
        <family val="2"/>
      </rPr>
      <t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>별첨 원문 그대로</t>
    </r>
  </si>
  <si>
    <r>
      <rPr>
        <sz val="11"/>
        <color rgb="FF000000"/>
        <rFont val="Noto Sans CJK SC"/>
        <family val="2"/>
      </rPr>
      <t>기재 행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Noto Sans CJK SC"/>
        <family val="2"/>
      </rPr>
      <t>슬롯</t>
    </r>
  </si>
  <si>
    <t>갑상샘암수술</t>
  </si>
  <si>
    <t>기타피부암수술</t>
  </si>
  <si>
    <t>제자리암수술급부금</t>
  </si>
  <si>
    <r>
      <rPr>
        <sz val="11"/>
        <color rgb="FF000000"/>
        <rFont val="Noto Sans CJK SC"/>
        <family val="2"/>
      </rPr>
      <t>상해수술비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</si>
  <si>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1-5</t>
    </r>
    <r>
      <rPr>
        <sz val="11"/>
        <color rgb="FF000000"/>
        <rFont val="Noto Sans CJK SC"/>
        <family val="2"/>
      </rPr>
      <t>종수술비Ⅱ</t>
    </r>
    <r>
      <rPr>
        <sz val="11"/>
        <color rgb="FF000000"/>
        <rFont val="맑은 고딕"/>
        <family val="3"/>
        <charset val="129"/>
      </rPr>
      <t>(1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</si>
  <si>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상해 종수술비</t>
    </r>
    <r>
      <rPr>
        <sz val="11"/>
        <color rgb="FF000000"/>
        <rFont val="맑은 고딕"/>
        <family val="3"/>
        <charset val="129"/>
      </rPr>
      <t>(1-5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 1</t>
    </r>
    <r>
      <rPr>
        <sz val="11"/>
        <color rgb="FF000000"/>
        <rFont val="Noto Sans CJK SC"/>
        <family val="2"/>
      </rPr>
      <t>종 슬롯</t>
    </r>
  </si>
  <si>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1-5</t>
    </r>
    <r>
      <rPr>
        <sz val="11"/>
        <color rgb="FF000000"/>
        <rFont val="Noto Sans CJK SC"/>
        <family val="2"/>
      </rPr>
      <t>종수술비Ⅱ</t>
    </r>
    <r>
      <rPr>
        <sz val="11"/>
        <color rgb="FF000000"/>
        <rFont val="맑은 고딕"/>
        <family val="3"/>
        <charset val="129"/>
      </rPr>
      <t>(2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</si>
  <si>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상해 종수술비</t>
    </r>
    <r>
      <rPr>
        <sz val="11"/>
        <color rgb="FF000000"/>
        <rFont val="맑은 고딕"/>
        <family val="3"/>
        <charset val="129"/>
      </rPr>
      <t>(1-5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 2</t>
    </r>
    <r>
      <rPr>
        <sz val="11"/>
        <color rgb="FF000000"/>
        <rFont val="Noto Sans CJK SC"/>
        <family val="2"/>
      </rPr>
      <t>종 슬롯</t>
    </r>
  </si>
  <si>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1-5</t>
    </r>
    <r>
      <rPr>
        <sz val="11"/>
        <color rgb="FF000000"/>
        <rFont val="Noto Sans CJK SC"/>
        <family val="2"/>
      </rPr>
      <t>종수술비Ⅱ</t>
    </r>
    <r>
      <rPr>
        <sz val="11"/>
        <color rgb="FF000000"/>
        <rFont val="맑은 고딕"/>
        <family val="3"/>
        <charset val="129"/>
      </rPr>
      <t>(3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</si>
  <si>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상해 종수술비</t>
    </r>
    <r>
      <rPr>
        <sz val="11"/>
        <color rgb="FF000000"/>
        <rFont val="맑은 고딕"/>
        <family val="3"/>
        <charset val="129"/>
      </rPr>
      <t>(1-5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 3</t>
    </r>
    <r>
      <rPr>
        <sz val="11"/>
        <color rgb="FF000000"/>
        <rFont val="Noto Sans CJK SC"/>
        <family val="2"/>
      </rPr>
      <t>종 슬롯</t>
    </r>
  </si>
  <si>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1-5</t>
    </r>
    <r>
      <rPr>
        <sz val="11"/>
        <color rgb="FF000000"/>
        <rFont val="Noto Sans CJK SC"/>
        <family val="2"/>
      </rPr>
      <t>종수술비Ⅱ</t>
    </r>
    <r>
      <rPr>
        <sz val="11"/>
        <color rgb="FF000000"/>
        <rFont val="맑은 고딕"/>
        <family val="3"/>
        <charset val="129"/>
      </rPr>
      <t>(4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</si>
  <si>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상해 종수술비</t>
    </r>
    <r>
      <rPr>
        <sz val="11"/>
        <color rgb="FF000000"/>
        <rFont val="맑은 고딕"/>
        <family val="3"/>
        <charset val="129"/>
      </rPr>
      <t>(1-5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 4</t>
    </r>
    <r>
      <rPr>
        <sz val="11"/>
        <color rgb="FF000000"/>
        <rFont val="Noto Sans CJK SC"/>
        <family val="2"/>
      </rPr>
      <t>종 슬롯</t>
    </r>
  </si>
  <si>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1-5</t>
    </r>
    <r>
      <rPr>
        <sz val="11"/>
        <color rgb="FF000000"/>
        <rFont val="Noto Sans CJK SC"/>
        <family val="2"/>
      </rPr>
      <t>종수술비Ⅱ</t>
    </r>
    <r>
      <rPr>
        <sz val="11"/>
        <color rgb="FF000000"/>
        <rFont val="맑은 고딕"/>
        <family val="3"/>
        <charset val="129"/>
      </rPr>
      <t>(5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</si>
  <si>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상해 종수술비</t>
    </r>
    <r>
      <rPr>
        <sz val="11"/>
        <color rgb="FF000000"/>
        <rFont val="맑은 고딕"/>
        <family val="3"/>
        <charset val="129"/>
      </rPr>
      <t>(1-5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 5</t>
    </r>
    <r>
      <rPr>
        <sz val="11"/>
        <color rgb="FF000000"/>
        <rFont val="Noto Sans CJK SC"/>
        <family val="2"/>
      </rPr>
      <t>종 슬롯</t>
    </r>
  </si>
  <si>
    <r>
      <rPr>
        <sz val="11"/>
        <color rgb="FF000000"/>
        <rFont val="Noto Sans CJK SC"/>
        <family val="2"/>
      </rPr>
      <t>골절수술비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</si>
  <si>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화상치료비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화상수술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동일사고당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</si>
  <si>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창상봉합술치료비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안면부</t>
    </r>
    <r>
      <rPr>
        <sz val="11"/>
        <color rgb="FF000000"/>
        <rFont val="맑은 고딕"/>
        <family val="3"/>
        <charset val="129"/>
      </rPr>
      <t>)(1</t>
    </r>
    <r>
      <rPr>
        <sz val="11"/>
        <color rgb="FF000000"/>
        <rFont val="Noto Sans CJK SC"/>
        <family val="2"/>
      </rPr>
      <t>일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Noto Sans CJK SC"/>
        <family val="2"/>
      </rPr>
      <t>연간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</si>
  <si>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창상봉합술치료비</t>
    </r>
    <r>
      <rPr>
        <sz val="11"/>
        <color rgb="FF000000"/>
        <rFont val="맑은 고딕"/>
        <family val="3"/>
        <charset val="129"/>
      </rPr>
      <t>(1</t>
    </r>
    <r>
      <rPr>
        <sz val="11"/>
        <color rgb="FF000000"/>
        <rFont val="Noto Sans CJK SC"/>
        <family val="2"/>
      </rPr>
      <t>일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Noto Sans CJK SC"/>
        <family val="2"/>
      </rPr>
      <t>연간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</si>
  <si>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수술시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유사암제외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매회지급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</si>
  <si>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질병수술비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동일질병당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</si>
  <si>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질병</t>
    </r>
    <r>
      <rPr>
        <sz val="11"/>
        <color rgb="FF000000"/>
        <rFont val="맑은 고딕"/>
        <family val="3"/>
        <charset val="129"/>
      </rPr>
      <t>1-5</t>
    </r>
    <r>
      <rPr>
        <sz val="11"/>
        <color rgb="FF000000"/>
        <rFont val="Noto Sans CJK SC"/>
        <family val="2"/>
      </rPr>
      <t>종수술비Ⅳ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매회지급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</si>
  <si>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질병 종수술비</t>
    </r>
    <r>
      <rPr>
        <sz val="11"/>
        <color rgb="FF000000"/>
        <rFont val="맑은 고딕"/>
        <family val="3"/>
        <charset val="129"/>
      </rPr>
      <t>(1-5</t>
    </r>
    <r>
      <rPr>
        <sz val="11"/>
        <color rgb="FF000000"/>
        <rFont val="Noto Sans CJK SC"/>
        <family val="2"/>
      </rPr>
      <t>종</t>
    </r>
    <r>
      <rPr>
        <sz val="11"/>
        <color rgb="FF000000"/>
        <rFont val="맑은 고딕"/>
        <family val="3"/>
        <charset val="129"/>
      </rPr>
      <t>) 5</t>
    </r>
    <r>
      <rPr>
        <sz val="11"/>
        <color rgb="FF000000"/>
        <rFont val="Noto Sans CJK SC"/>
        <family val="2"/>
      </rPr>
      <t>종 슬롯</t>
    </r>
  </si>
  <si>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>별첨 원문 그대로</t>
    </r>
  </si>
  <si>
    <t>암진단</t>
  </si>
  <si>
    <t>갑상샘암직접치료입원급부금</t>
  </si>
  <si>
    <t>기타피부암직접치료입원급부금</t>
  </si>
  <si>
    <t>암입원</t>
  </si>
  <si>
    <t>제자리암직접치료입원급부금</t>
  </si>
  <si>
    <r>
      <rPr>
        <sz val="11"/>
        <color rgb="FF000000"/>
        <rFont val="Noto Sans CJK SC"/>
        <family val="2"/>
      </rPr>
      <t>암진단비Ⅱ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유사암제외</t>
    </r>
    <r>
      <rPr>
        <sz val="11"/>
        <color rgb="FF000000"/>
        <rFont val="맑은 고딕"/>
        <family val="3"/>
        <charset val="129"/>
      </rPr>
      <t>)</t>
    </r>
  </si>
  <si>
    <t>통합유사암진단비</t>
  </si>
  <si>
    <r>
      <rPr>
        <sz val="11"/>
        <color rgb="FF000000"/>
        <rFont val="Noto Sans CJK SC"/>
        <family val="2"/>
      </rPr>
      <t>유사암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갑</t>
    </r>
    <r>
      <rPr>
        <sz val="11"/>
        <color rgb="FF000000"/>
        <rFont val="맑은 고딕"/>
        <family val="3"/>
        <charset val="129"/>
      </rPr>
      <t>.</t>
    </r>
    <r>
      <rPr>
        <sz val="11"/>
        <color rgb="FF000000"/>
        <rFont val="Noto Sans CJK SC"/>
        <family val="2"/>
      </rPr>
      <t>기</t>
    </r>
    <r>
      <rPr>
        <sz val="11"/>
        <color rgb="FF000000"/>
        <rFont val="맑은 고딕"/>
        <family val="3"/>
        <charset val="129"/>
      </rPr>
      <t>.</t>
    </r>
    <r>
      <rPr>
        <sz val="11"/>
        <color rgb="FF000000"/>
        <rFont val="Noto Sans CJK SC"/>
        <family val="2"/>
      </rPr>
      <t>경</t>
    </r>
    <r>
      <rPr>
        <sz val="11"/>
        <color rgb="FF000000"/>
        <rFont val="맑은 고딕"/>
        <family val="3"/>
        <charset val="129"/>
      </rPr>
      <t>.</t>
    </r>
    <r>
      <rPr>
        <sz val="11"/>
        <color rgb="FF000000"/>
        <rFont val="Noto Sans CJK SC"/>
        <family val="2"/>
      </rPr>
      <t>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</si>
  <si>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중환자실입</t>
    </r>
  </si>
  <si>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항암방사선</t>
    </r>
  </si>
  <si>
    <r>
      <rPr>
        <sz val="11"/>
        <color rgb="FF000000"/>
        <rFont val="Noto Sans CJK SC"/>
        <family val="2"/>
      </rPr>
      <t>암주요치료비Ⅲ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암중점치료기관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상급종합병원포함</t>
    </r>
    <r>
      <rPr>
        <sz val="11"/>
        <color rgb="FF000000"/>
        <rFont val="맑은 고딕"/>
        <family val="3"/>
        <charset val="129"/>
      </rPr>
      <t>))(</t>
    </r>
    <r>
      <rPr>
        <sz val="11"/>
        <color rgb="FF000000"/>
        <rFont val="Noto Sans CJK SC"/>
        <family val="2"/>
      </rPr>
      <t>항암약물치</t>
    </r>
  </si>
  <si>
    <r>
      <rPr>
        <b/>
        <sz val="13"/>
        <color rgb="FF1F7A1F"/>
        <rFont val="Cambria"/>
        <family val="1"/>
      </rPr>
      <t>[</t>
    </r>
    <r>
      <rPr>
        <b/>
        <sz val="13"/>
        <color rgb="FF1F7A1F"/>
        <rFont val="Noto Sans CJK SC"/>
        <family val="2"/>
      </rPr>
      <t>검산</t>
    </r>
    <r>
      <rPr>
        <b/>
        <sz val="13"/>
        <color rgb="FF1F7A1F"/>
        <rFont val="Cambria"/>
        <family val="1"/>
      </rPr>
      <t xml:space="preserve">] </t>
    </r>
    <r>
      <rPr>
        <b/>
        <sz val="13"/>
        <color rgb="FF1F7A1F"/>
        <rFont val="Noto Sans CJK SC"/>
        <family val="2"/>
      </rPr>
      <t xml:space="preserve">한장보장표 대조 — 일치 </t>
    </r>
    <r>
      <rPr>
        <b/>
        <sz val="13"/>
        <color rgb="FF1F7A1F"/>
        <rFont val="Cambria"/>
        <family val="1"/>
      </rPr>
      <t>27</t>
    </r>
    <r>
      <rPr>
        <b/>
        <sz val="13"/>
        <color rgb="FF1F7A1F"/>
        <rFont val="Noto Sans CJK SC"/>
        <family val="2"/>
      </rPr>
      <t xml:space="preserve">건 </t>
    </r>
    <r>
      <rPr>
        <b/>
        <sz val="13"/>
        <color rgb="FF1F7A1F"/>
        <rFont val="Cambria"/>
        <family val="1"/>
      </rPr>
      <t xml:space="preserve">/ </t>
    </r>
    <r>
      <rPr>
        <b/>
        <sz val="13"/>
        <color rgb="FF1F7A1F"/>
        <rFont val="Noto Sans CJK SC"/>
        <family val="2"/>
      </rPr>
      <t xml:space="preserve">불일치 </t>
    </r>
    <r>
      <rPr>
        <b/>
        <sz val="13"/>
        <color rgb="FF1F7A1F"/>
        <rFont val="Cambria"/>
        <family val="1"/>
      </rPr>
      <t>0</t>
    </r>
    <r>
      <rPr>
        <b/>
        <sz val="13"/>
        <color rgb="FF1F7A1F"/>
        <rFont val="Noto Sans CJK SC"/>
        <family val="2"/>
      </rPr>
      <t xml:space="preserve">건  </t>
    </r>
    <r>
      <rPr>
        <b/>
        <sz val="13"/>
        <color rgb="FF1F7A1F"/>
        <rFont val="Cambria"/>
        <family val="1"/>
      </rPr>
      <t>(</t>
    </r>
    <r>
      <rPr>
        <b/>
        <sz val="13"/>
        <color rgb="FF1F7A1F"/>
        <rFont val="Noto Sans CJK SC"/>
        <family val="2"/>
      </rPr>
      <t>전 항목 일치</t>
    </r>
    <r>
      <rPr>
        <b/>
        <sz val="13"/>
        <color rgb="FF1F7A1F"/>
        <rFont val="Cambria"/>
        <family val="1"/>
      </rPr>
      <t>)</t>
    </r>
  </si>
  <si>
    <t>담보</t>
  </si>
  <si>
    <t>한장보장표</t>
  </si>
  <si>
    <t>엑셀 끝열</t>
  </si>
  <si>
    <t>차이</t>
  </si>
  <si>
    <r>
      <rPr>
        <sz val="11"/>
        <color rgb="FF000000"/>
        <rFont val="Noto Sans CJK SC"/>
        <family val="2"/>
      </rPr>
      <t>※ 대조 가능한 전 항목이 일치한다</t>
    </r>
    <r>
      <rPr>
        <sz val="11"/>
        <color rgb="FF000000"/>
        <rFont val="맑은 고딕"/>
        <family val="3"/>
        <charset val="129"/>
      </rPr>
      <t>.</t>
    </r>
  </si>
  <si>
    <r>
      <rPr>
        <b/>
        <sz val="12"/>
        <color rgb="FF7A5C00"/>
        <rFont val="Cambria"/>
        <family val="1"/>
      </rPr>
      <t>[</t>
    </r>
    <r>
      <rPr>
        <b/>
        <sz val="12"/>
        <color rgb="FF7A5C00"/>
        <rFont val="Noto Sans CJK SC"/>
        <family val="2"/>
      </rPr>
      <t>세부보충</t>
    </r>
    <r>
      <rPr>
        <b/>
        <sz val="12"/>
        <color rgb="FF7A5C00"/>
        <rFont val="Cambria"/>
        <family val="1"/>
      </rPr>
      <t xml:space="preserve">] </t>
    </r>
    <r>
      <rPr>
        <b/>
        <sz val="12"/>
        <color rgb="FF7A5C00"/>
        <rFont val="Noto Sans CJK SC"/>
        <family val="2"/>
      </rPr>
      <t xml:space="preserve">별첨에 없어 세부가입현황에서 채운 값 — </t>
    </r>
    <r>
      <rPr>
        <b/>
        <sz val="12"/>
        <color rgb="FF7A5C00"/>
        <rFont val="Cambria"/>
        <family val="1"/>
      </rPr>
      <t>5</t>
    </r>
    <r>
      <rPr>
        <b/>
        <sz val="12"/>
        <color rgb="FF7A5C00"/>
        <rFont val="Noto Sans CJK SC"/>
        <family val="2"/>
      </rPr>
      <t xml:space="preserve">건 </t>
    </r>
    <r>
      <rPr>
        <b/>
        <sz val="12"/>
        <color rgb="FF7A5C00"/>
        <rFont val="Cambria"/>
        <family val="1"/>
      </rPr>
      <t>(</t>
    </r>
    <r>
      <rPr>
        <b/>
        <sz val="12"/>
        <color rgb="FF7A5C00"/>
        <rFont val="Noto Sans CJK SC"/>
        <family val="2"/>
      </rPr>
      <t xml:space="preserve">별첨이 정본 </t>
    </r>
    <r>
      <rPr>
        <b/>
        <sz val="12"/>
        <color rgb="FF7A5C00"/>
        <rFont val="Cambria"/>
        <family val="1"/>
      </rPr>
      <t xml:space="preserve">· </t>
    </r>
    <r>
      <rPr>
        <b/>
        <sz val="12"/>
        <color rgb="FF7A5C00"/>
        <rFont val="Noto Sans CJK SC"/>
        <family val="2"/>
      </rPr>
      <t>다르면 별첨을 따른다</t>
    </r>
    <r>
      <rPr>
        <b/>
        <sz val="12"/>
        <color rgb="FF7A5C00"/>
        <rFont val="Cambria"/>
        <family val="1"/>
      </rPr>
      <t>)</t>
    </r>
  </si>
  <si>
    <t>마스터 담보행</t>
  </si>
  <si>
    <t>기재 금액</t>
  </si>
  <si>
    <t>근거</t>
  </si>
  <si>
    <r>
      <rPr>
        <sz val="11"/>
        <color rgb="FF000000"/>
        <rFont val="Noto Sans CJK SC"/>
        <family val="2"/>
      </rPr>
      <t>세부가입현황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계약별 가입정보</t>
    </r>
    <r>
      <rPr>
        <sz val="11"/>
        <color rgb="FF000000"/>
        <rFont val="맑은 고딕"/>
        <family val="3"/>
        <charset val="129"/>
      </rPr>
      <t>)</t>
    </r>
  </si>
  <si>
    <r>
      <rPr>
        <b/>
        <sz val="12"/>
        <color rgb="FF1F3864"/>
        <rFont val="Cambria"/>
        <family val="1"/>
      </rPr>
      <t>[</t>
    </r>
    <r>
      <rPr>
        <b/>
        <sz val="12"/>
        <color rgb="FF1F3864"/>
        <rFont val="Noto Sans CJK SC"/>
        <family val="2"/>
      </rPr>
      <t>해석원칙</t>
    </r>
    <r>
      <rPr>
        <b/>
        <sz val="12"/>
        <color rgb="FF1F3864"/>
        <rFont val="Cambria"/>
        <family val="1"/>
      </rPr>
      <t xml:space="preserve">] </t>
    </r>
    <r>
      <rPr>
        <b/>
        <sz val="12"/>
        <color rgb="FF1F3864"/>
        <rFont val="Noto Sans CJK SC"/>
        <family val="2"/>
      </rPr>
      <t>이 문장이 판단의 정본이다 — 요약</t>
    </r>
    <r>
      <rPr>
        <b/>
        <sz val="12"/>
        <color rgb="FF1F3864"/>
        <rFont val="Cambria"/>
        <family val="1"/>
      </rPr>
      <t>·</t>
    </r>
    <r>
      <rPr>
        <b/>
        <sz val="12"/>
        <color rgb="FF1F3864"/>
        <rFont val="Noto Sans CJK SC"/>
        <family val="2"/>
      </rPr>
      <t xml:space="preserve">재해석 금지  </t>
    </r>
    <r>
      <rPr>
        <b/>
        <sz val="12"/>
        <color rgb="FF1F3864"/>
        <rFont val="Cambria"/>
        <family val="1"/>
      </rPr>
      <t>(</t>
    </r>
    <r>
      <rPr>
        <b/>
        <sz val="12"/>
        <color rgb="FF1F3864"/>
        <rFont val="Noto Sans CJK SC"/>
        <family val="2"/>
      </rPr>
      <t>출처</t>
    </r>
    <r>
      <rPr>
        <b/>
        <sz val="12"/>
        <color rgb="FF1F3864"/>
        <rFont val="Cambria"/>
        <family val="1"/>
      </rPr>
      <t xml:space="preserve">: master.xlsx </t>
    </r>
    <r>
      <rPr>
        <b/>
        <sz val="12"/>
        <color rgb="FF1F3864"/>
        <rFont val="Noto Sans CJK SC"/>
        <family val="2"/>
      </rPr>
      <t xml:space="preserve">「해석원칙」 시트 </t>
    </r>
    <r>
      <rPr>
        <b/>
        <sz val="12"/>
        <color rgb="FF1F3864"/>
        <rFont val="Cambria"/>
        <family val="1"/>
      </rPr>
      <t>(10</t>
    </r>
    <r>
      <rPr>
        <b/>
        <sz val="12"/>
        <color rgb="FF1F3864"/>
        <rFont val="Noto Sans CJK SC"/>
        <family val="2"/>
      </rPr>
      <t>개</t>
    </r>
    <r>
      <rPr>
        <b/>
        <sz val="12"/>
        <color rgb="FF1F3864"/>
        <rFont val="Cambria"/>
        <family val="1"/>
      </rPr>
      <t>))</t>
    </r>
  </si>
  <si>
    <t>No</t>
  </si>
  <si>
    <r>
      <rPr>
        <b/>
        <sz val="11"/>
        <color rgb="FFFFFFFF"/>
        <rFont val="Noto Sans CJK SC"/>
        <family val="2"/>
      </rPr>
      <t xml:space="preserve">원칙 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원문</t>
    </r>
    <r>
      <rPr>
        <b/>
        <sz val="11"/>
        <color rgb="FFFFFFFF"/>
        <rFont val="Cambria"/>
        <family val="1"/>
      </rPr>
      <t>)</t>
    </r>
  </si>
  <si>
    <t>위반하면</t>
  </si>
  <si>
    <r>
      <rPr>
        <b/>
        <sz val="11"/>
        <color rgb="FFFFFFFF"/>
        <rFont val="Noto Sans CJK SC"/>
        <family val="2"/>
      </rPr>
      <t>근거</t>
    </r>
    <r>
      <rPr>
        <b/>
        <sz val="11"/>
        <color rgb="FFFFFFFF"/>
        <rFont val="Cambria"/>
        <family val="1"/>
      </rPr>
      <t>·</t>
    </r>
    <r>
      <rPr>
        <b/>
        <sz val="11"/>
        <color rgb="FFFFFFFF"/>
        <rFont val="Noto Sans CJK SC"/>
        <family val="2"/>
      </rPr>
      <t>사례</t>
    </r>
  </si>
  <si>
    <r>
      <rPr>
        <sz val="11"/>
        <color rgb="FF000000"/>
        <rFont val="Noto Sans CJK SC"/>
        <family val="2"/>
      </rPr>
      <t>지점장이 준 자료는 문구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코드를 그대로 쓴다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요약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재구성하거나 해설 주석을 덧붙이지 않는다</t>
    </r>
    <r>
      <rPr>
        <sz val="11"/>
        <color rgb="FF000000"/>
        <rFont val="맑은 고딕"/>
        <family val="3"/>
        <charset val="129"/>
      </rPr>
      <t>.</t>
    </r>
  </si>
  <si>
    <t>최종본과 달라 보여 같은 매핑을 반복해 틀린다</t>
  </si>
  <si>
    <r>
      <rPr>
        <sz val="11"/>
        <color rgb="FF000000"/>
        <rFont val="Noto Sans CJK SC"/>
        <family val="2"/>
      </rPr>
      <t xml:space="preserve">정본 관리 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 xml:space="preserve">원칙 ① </t>
    </r>
    <r>
      <rPr>
        <sz val="11"/>
        <color rgb="FF000000"/>
        <rFont val="맑은 고딕"/>
        <family val="3"/>
        <charset val="129"/>
      </rPr>
      <t xml:space="preserve">· 2026.07.18 </t>
    </r>
    <r>
      <rPr>
        <sz val="11"/>
        <color rgb="FF000000"/>
        <rFont val="Noto Sans CJK SC"/>
        <family val="2"/>
      </rPr>
      <t xml:space="preserve">심장 매핑 </t>
    </r>
    <r>
      <rPr>
        <sz val="11"/>
        <color rgb="FF000000"/>
        <rFont val="맑은 고딕"/>
        <family val="3"/>
        <charset val="129"/>
      </rPr>
      <t>4</t>
    </r>
    <r>
      <rPr>
        <sz val="11"/>
        <color rgb="FF000000"/>
        <rFont val="Noto Sans CJK SC"/>
        <family val="2"/>
      </rPr>
      <t>회 오류</t>
    </r>
  </si>
  <si>
    <r>
      <rPr>
        <sz val="11"/>
        <color rgb="FF000000"/>
        <rFont val="Noto Sans CJK SC"/>
        <family val="2"/>
      </rPr>
      <t xml:space="preserve">지침에 없으면 추측하지 않는다 — 빈칸으로 두고 </t>
    </r>
    <r>
      <rPr>
        <sz val="11"/>
        <color rgb="FF000000"/>
        <rFont val="맑은 고딕"/>
        <family val="3"/>
        <charset val="129"/>
      </rPr>
      <t>[</t>
    </r>
    <r>
      <rPr>
        <sz val="11"/>
        <color rgb="FF000000"/>
        <rFont val="Noto Sans CJK SC"/>
        <family val="2"/>
      </rPr>
      <t>확인</t>
    </r>
    <r>
      <rPr>
        <sz val="11"/>
        <color rgb="FF000000"/>
        <rFont val="맑은 고딕"/>
        <family val="3"/>
        <charset val="129"/>
      </rPr>
      <t>]</t>
    </r>
    <r>
      <rPr>
        <sz val="11"/>
        <color rgb="FF000000"/>
        <rFont val="Noto Sans CJK SC"/>
        <family val="2"/>
      </rPr>
      <t>큐로 보낸다</t>
    </r>
    <r>
      <rPr>
        <sz val="11"/>
        <color rgb="FF000000"/>
        <rFont val="맑은 고딕"/>
        <family val="3"/>
        <charset val="129"/>
      </rPr>
      <t>.</t>
    </r>
  </si>
  <si>
    <t>내 판단이 정본인 것처럼 산출물에 박힌다</t>
  </si>
  <si>
    <r>
      <rPr>
        <sz val="11"/>
        <color rgb="FF000000"/>
        <rFont val="맑은 고딕"/>
        <family val="3"/>
        <charset val="129"/>
      </rPr>
      <t>§0 "</t>
    </r>
    <r>
      <rPr>
        <sz val="11"/>
        <color rgb="FF000000"/>
        <rFont val="Noto Sans CJK SC"/>
        <family val="2"/>
      </rPr>
      <t>모르면 빈칸</t>
    </r>
    <r>
      <rPr>
        <sz val="11"/>
        <color rgb="FF000000"/>
        <rFont val="맑은 고딕"/>
        <family val="3"/>
        <charset val="129"/>
      </rPr>
      <t>+[</t>
    </r>
    <r>
      <rPr>
        <sz val="11"/>
        <color rgb="FF000000"/>
        <rFont val="Noto Sans CJK SC"/>
        <family val="2"/>
      </rPr>
      <t>확인</t>
    </r>
    <r>
      <rPr>
        <sz val="11"/>
        <color rgb="FF000000"/>
        <rFont val="맑은 고딕"/>
        <family val="3"/>
        <charset val="129"/>
      </rPr>
      <t xml:space="preserve">], </t>
    </r>
    <r>
      <rPr>
        <sz val="11"/>
        <color rgb="FF000000"/>
        <rFont val="Noto Sans CJK SC"/>
        <family val="2"/>
      </rPr>
      <t>추측 금지</t>
    </r>
    <r>
      <rPr>
        <sz val="11"/>
        <color rgb="FF000000"/>
        <rFont val="맑은 고딕"/>
        <family val="3"/>
        <charset val="129"/>
      </rPr>
      <t>"</t>
    </r>
  </si>
  <si>
    <r>
      <rPr>
        <sz val="11"/>
        <color rgb="FF000000"/>
        <rFont val="Noto Sans CJK SC"/>
        <family val="2"/>
      </rPr>
      <t>범위를 넓히려면 먼저 물어본다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지점장이 두 개를 말했으면 두 개만 넣는다</t>
    </r>
    <r>
      <rPr>
        <sz val="11"/>
        <color rgb="FF000000"/>
        <rFont val="맑은 고딕"/>
        <family val="3"/>
        <charset val="129"/>
      </rPr>
      <t>.</t>
    </r>
  </si>
  <si>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나는 그걸 말한 적이 없다</t>
    </r>
    <r>
      <rPr>
        <sz val="11"/>
        <color rgb="FF000000"/>
        <rFont val="맑은 고딕"/>
        <family val="3"/>
        <charset val="129"/>
      </rPr>
      <t xml:space="preserve">" — </t>
    </r>
    <r>
      <rPr>
        <sz val="11"/>
        <color rgb="FF000000"/>
        <rFont val="Noto Sans CJK SC"/>
        <family val="2"/>
      </rPr>
      <t>임의 확장</t>
    </r>
  </si>
  <si>
    <r>
      <rPr>
        <sz val="11"/>
        <color rgb="FF000000"/>
        <rFont val="맑은 고딕"/>
        <family val="3"/>
        <charset val="129"/>
      </rPr>
      <t xml:space="preserve">(0f) </t>
    </r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재해 외에 교통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외래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대중교통까지 확장</t>
    </r>
  </si>
  <si>
    <r>
      <rPr>
        <sz val="11"/>
        <color rgb="FF000000"/>
        <rFont val="Noto Sans CJK SC"/>
        <family val="2"/>
      </rPr>
      <t>지침이 바뀌면 옛 내용을 남기지 말고 지운다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세트로 내려온 지시는 전부 폐기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교체한다</t>
    </r>
    <r>
      <rPr>
        <sz val="11"/>
        <color rgb="FF000000"/>
        <rFont val="맑은 고딕"/>
        <family val="3"/>
        <charset val="129"/>
      </rPr>
      <t>.</t>
    </r>
  </si>
  <si>
    <t>옛 규칙이 살아남아 그대로 나간다</t>
  </si>
  <si>
    <r>
      <rPr>
        <sz val="11"/>
        <color rgb="FF000000"/>
        <rFont val="Noto Sans CJK SC"/>
        <family val="2"/>
      </rPr>
      <t xml:space="preserve">정본 관리 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 xml:space="preserve">원칙 ②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빈맥 규칙이 </t>
    </r>
    <r>
      <rPr>
        <sz val="11"/>
        <color rgb="FF000000"/>
        <rFont val="맑은 고딕"/>
        <family val="3"/>
        <charset val="129"/>
      </rPr>
      <t>4</t>
    </r>
    <r>
      <rPr>
        <sz val="11"/>
        <color rgb="FF000000"/>
        <rFont val="Noto Sans CJK SC"/>
        <family val="2"/>
      </rPr>
      <t>곳에 잔존</t>
    </r>
  </si>
  <si>
    <r>
      <rPr>
        <sz val="11"/>
        <color rgb="FF000000"/>
        <rFont val="Noto Sans CJK SC"/>
        <family val="2"/>
      </rPr>
      <t>같은 데이터가 여러 곳에 있다 — 전수 수정하고 마지막에 옛 문구 잔재를 스캔한다</t>
    </r>
    <r>
      <rPr>
        <sz val="11"/>
        <color rgb="FF000000"/>
        <rFont val="맑은 고딕"/>
        <family val="3"/>
        <charset val="129"/>
      </rPr>
      <t>.</t>
    </r>
  </si>
  <si>
    <t>반쪽 수정 — 한 곳만 고쳐 불일치가 남는다</t>
  </si>
  <si>
    <r>
      <rPr>
        <sz val="11"/>
        <color rgb="FF000000"/>
        <rFont val="Noto Sans CJK SC"/>
        <family val="2"/>
      </rPr>
      <t xml:space="preserve">정본 관리 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 xml:space="preserve">원칙 ③ </t>
    </r>
    <r>
      <rPr>
        <sz val="11"/>
        <color rgb="FF000000"/>
        <rFont val="맑은 고딕"/>
        <family val="3"/>
        <charset val="129"/>
      </rPr>
      <t xml:space="preserve">· v210 </t>
    </r>
    <r>
      <rPr>
        <sz val="11"/>
        <color rgb="FF000000"/>
        <rFont val="Noto Sans CJK SC"/>
        <family val="2"/>
      </rPr>
      <t xml:space="preserve">색 규칙 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>군데</t>
    </r>
  </si>
  <si>
    <r>
      <rPr>
        <sz val="11"/>
        <color rgb="FF000000"/>
        <rFont val="Noto Sans CJK SC"/>
        <family val="2"/>
      </rPr>
      <t>규칙 두 개가 같은 값을 만지면 나중 것이 앞 것을 죽인다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새 규칙 전에 같은 셀을 쓰는 기존 규칙을 확인한다</t>
    </r>
    <r>
      <rPr>
        <sz val="11"/>
        <color rgb="FF000000"/>
        <rFont val="맑은 고딕"/>
        <family val="3"/>
        <charset val="129"/>
      </rPr>
      <t>.</t>
    </r>
  </si>
  <si>
    <t>조용히 겹쳐 박히거나 앞 규칙이 무효가 된다</t>
  </si>
  <si>
    <r>
      <rPr>
        <sz val="11"/>
        <color rgb="FF000000"/>
        <rFont val="맑은 고딕"/>
        <family val="3"/>
        <charset val="129"/>
      </rPr>
      <t>v245</t>
    </r>
    <r>
      <rPr>
        <sz val="11"/>
        <color rgb="FF000000"/>
        <rFont val="Noto Sans CJK SC"/>
        <family val="2"/>
      </rPr>
      <t xml:space="preserve">가 </t>
    </r>
    <r>
      <rPr>
        <sz val="11"/>
        <color rgb="FF000000"/>
        <rFont val="맑은 고딕"/>
        <family val="3"/>
        <charset val="129"/>
      </rPr>
      <t>v240</t>
    </r>
    <r>
      <rPr>
        <sz val="11"/>
        <color rgb="FF000000"/>
        <rFont val="Noto Sans CJK SC"/>
        <family val="2"/>
      </rPr>
      <t xml:space="preserve">을 되돌림 </t>
    </r>
    <r>
      <rPr>
        <sz val="11"/>
        <color rgb="FF000000"/>
        <rFont val="맑은 고딕"/>
        <family val="3"/>
        <charset val="129"/>
      </rPr>
      <t xml:space="preserve">· v266 </t>
    </r>
    <r>
      <rPr>
        <sz val="11"/>
        <color rgb="FF000000"/>
        <rFont val="Noto Sans CJK SC"/>
        <family val="2"/>
      </rPr>
      <t>중복 적용</t>
    </r>
  </si>
  <si>
    <r>
      <rPr>
        <sz val="11"/>
        <color rgb="FF000000"/>
        <rFont val="Noto Sans CJK SC"/>
        <family val="2"/>
      </rPr>
      <t xml:space="preserve">직접 열어본 것만 </t>
    </r>
    <r>
      <rPr>
        <sz val="11"/>
        <color rgb="FF000000"/>
        <rFont val="맑은 고딕"/>
        <family val="3"/>
        <charset val="129"/>
      </rPr>
      <t>"~</t>
    </r>
    <r>
      <rPr>
        <sz val="11"/>
        <color rgb="FF000000"/>
        <rFont val="Noto Sans CJK SC"/>
        <family val="2"/>
      </rPr>
      <t>이다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라고 쓴다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안 본 것은 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가설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이라 명시한다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측정하지 않은 수치는 말하지 않는다</t>
    </r>
    <r>
      <rPr>
        <sz val="11"/>
        <color rgb="FF000000"/>
        <rFont val="맑은 고딕"/>
        <family val="3"/>
        <charset val="129"/>
      </rPr>
      <t>.</t>
    </r>
  </si>
  <si>
    <t>틀린 단정이 사실로 굳는다</t>
  </si>
  <si>
    <r>
      <rPr>
        <sz val="11"/>
        <color rgb="FF000000"/>
        <rFont val="맑은 고딕"/>
        <family val="3"/>
        <charset val="129"/>
      </rPr>
      <t>(0a) · 2026.07.31 "v307</t>
    </r>
    <r>
      <rPr>
        <sz val="11"/>
        <color rgb="FF000000"/>
        <rFont val="Noto Sans CJK SC"/>
        <family val="2"/>
      </rPr>
      <t>은 존재하지 않는다</t>
    </r>
    <r>
      <rPr>
        <sz val="11"/>
        <color rgb="FF000000"/>
        <rFont val="맑은 고딕"/>
        <family val="3"/>
        <charset val="129"/>
      </rPr>
      <t xml:space="preserve">" </t>
    </r>
    <r>
      <rPr>
        <sz val="11"/>
        <color rgb="FF000000"/>
        <rFont val="Noto Sans CJK SC"/>
        <family val="2"/>
      </rPr>
      <t>오단정</t>
    </r>
  </si>
  <si>
    <r>
      <rPr>
        <sz val="11"/>
        <color rgb="FF000000"/>
        <rFont val="Noto Sans CJK SC"/>
        <family val="2"/>
      </rPr>
      <t>고장난 기능은 고치는 것이다 — 선택지로 만들어 지점장께 결정을 넘기지 않는다</t>
    </r>
    <r>
      <rPr>
        <sz val="11"/>
        <color rgb="FF000000"/>
        <rFont val="맑은 고딕"/>
        <family val="3"/>
        <charset val="129"/>
      </rPr>
      <t>.</t>
    </r>
  </si>
  <si>
    <t>보고가 아니라 결정 위임이 된다</t>
  </si>
  <si>
    <r>
      <rPr>
        <sz val="11"/>
        <color rgb="FF000000"/>
        <rFont val="맑은 고딕"/>
        <family val="3"/>
        <charset val="129"/>
      </rPr>
      <t>(0f) ci_sebu</t>
    </r>
    <r>
      <rPr>
        <sz val="11"/>
        <color rgb="FF000000"/>
        <rFont val="Noto Sans CJK SC"/>
        <family val="2"/>
      </rPr>
      <t xml:space="preserve">를 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>선택지로 포장</t>
    </r>
  </si>
  <si>
    <r>
      <rPr>
        <sz val="11"/>
        <color rgb="FF000000"/>
        <rFont val="Noto Sans CJK SC"/>
        <family val="2"/>
      </rPr>
      <t xml:space="preserve">못 한 검증은 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못 했다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고 쓴다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결과물만 올리지 않고 실행 과정을 보여준다</t>
    </r>
    <r>
      <rPr>
        <sz val="11"/>
        <color rgb="FF000000"/>
        <rFont val="맑은 고딕"/>
        <family val="3"/>
        <charset val="129"/>
      </rPr>
      <t>.</t>
    </r>
  </si>
  <si>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지침 돌렸다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는 말만 남고 실제로 안 돌아간다</t>
    </r>
  </si>
  <si>
    <r>
      <rPr>
        <sz val="11"/>
        <color rgb="FF000000"/>
        <rFont val="맑은 고딕"/>
        <family val="3"/>
        <charset val="129"/>
      </rPr>
      <t>(0e) "</t>
    </r>
    <r>
      <rPr>
        <sz val="11"/>
        <color rgb="FF000000"/>
        <rFont val="Noto Sans CJK SC"/>
        <family val="2"/>
      </rPr>
      <t>왜 결과물만 올리냐</t>
    </r>
    <r>
      <rPr>
        <sz val="11"/>
        <color rgb="FF000000"/>
        <rFont val="맑은 고딕"/>
        <family val="3"/>
        <charset val="129"/>
      </rPr>
      <t>"</t>
    </r>
  </si>
  <si>
    <r>
      <rPr>
        <sz val="11"/>
        <color rgb="FF000000"/>
        <rFont val="Noto Sans CJK SC"/>
        <family val="2"/>
      </rPr>
      <t xml:space="preserve">규칙 하나를 고치면 </t>
    </r>
    <r>
      <rPr>
        <sz val="11"/>
        <color rgb="FF000000"/>
        <rFont val="맑은 고딕"/>
        <family val="3"/>
        <charset val="129"/>
      </rPr>
      <t>2</t>
    </r>
    <r>
      <rPr>
        <sz val="11"/>
        <color rgb="FF000000"/>
        <rFont val="Noto Sans CJK SC"/>
        <family val="2"/>
      </rPr>
      <t>열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롯데</t>
    </r>
    <r>
      <rPr>
        <sz val="11"/>
        <color rgb="FF000000"/>
        <rFont val="맑은 고딕"/>
        <family val="3"/>
        <charset val="129"/>
      </rPr>
      <t>)·3</t>
    </r>
    <r>
      <rPr>
        <sz val="11"/>
        <color rgb="FF000000"/>
        <rFont val="Noto Sans CJK SC"/>
        <family val="2"/>
      </rPr>
      <t>열</t>
    </r>
    <r>
      <rPr>
        <sz val="11"/>
        <color rgb="FF000000"/>
        <rFont val="맑은 고딕"/>
        <family val="3"/>
        <charset val="129"/>
      </rPr>
      <t xml:space="preserve">(KB) </t>
    </r>
    <r>
      <rPr>
        <sz val="11"/>
        <color rgb="FF000000"/>
        <rFont val="Noto Sans CJK SC"/>
        <family val="2"/>
      </rPr>
      <t>두 경로를 반드시 다 돌린다</t>
    </r>
    <r>
      <rPr>
        <sz val="11"/>
        <color rgb="FF000000"/>
        <rFont val="맑은 고딕"/>
        <family val="3"/>
        <charset val="129"/>
      </rPr>
      <t>.</t>
    </r>
  </si>
  <si>
    <t>한 경로만 고쳐 다른 경로가 조용히 깨진다</t>
  </si>
  <si>
    <t>제출 전 체크리스트 ⑨</t>
  </si>
  <si>
    <t>마스터 행</t>
  </si>
  <si>
    <t>원본 담보명</t>
  </si>
  <si>
    <r>
      <rPr>
        <b/>
        <sz val="11"/>
        <color rgb="FFFFFFFF"/>
        <rFont val="Noto Sans CJK SC"/>
        <family val="2"/>
      </rPr>
      <t>금액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만원</t>
    </r>
    <r>
      <rPr>
        <b/>
        <sz val="11"/>
        <color rgb="FFFFFFFF"/>
        <rFont val="Cambria"/>
        <family val="1"/>
      </rPr>
      <t>)</t>
    </r>
  </si>
  <si>
    <t>상품</t>
  </si>
  <si>
    <r>
      <rPr>
        <sz val="11"/>
        <color rgb="FF000000"/>
        <rFont val="Noto Sans CJK SC"/>
        <family val="2"/>
      </rPr>
      <t>나에게 맞춘 더좋은 초경증 간편건강보험</t>
    </r>
    <r>
      <rPr>
        <sz val="11"/>
        <color rgb="FF000000"/>
        <rFont val="맑은 고딕"/>
        <family val="3"/>
        <charset val="129"/>
      </rPr>
      <t>2607</t>
    </r>
  </si>
  <si>
    <r>
      <rPr>
        <sz val="11"/>
        <color rgb="FF000000"/>
        <rFont val="맑은 고딕"/>
        <family val="3"/>
        <charset val="129"/>
      </rPr>
      <t>5</t>
    </r>
    <r>
      <rPr>
        <sz val="11"/>
        <color rgb="FF000000"/>
        <rFont val="Noto Sans CJK SC"/>
        <family val="2"/>
      </rPr>
      <t>대골절진단비</t>
    </r>
  </si>
  <si>
    <r>
      <rPr>
        <sz val="11"/>
        <color rgb="FF000000"/>
        <rFont val="Noto Sans CJK SC"/>
        <family val="2"/>
      </rPr>
      <t>골절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치아파절제외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</si>
  <si>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골절진단비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치아제외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</si>
  <si>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골절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치아파절포함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</si>
  <si>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골절진단비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치아포함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</si>
  <si>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무배당 우체국큰병큰보장보험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</si>
  <si>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깁스치료비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상해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Noto Sans CJK SC"/>
        <family val="2"/>
      </rPr>
      <t>질병</t>
    </r>
    <r>
      <rPr>
        <sz val="11"/>
        <color rgb="FF000000"/>
        <rFont val="맑은 고딕"/>
        <family val="3"/>
        <charset val="129"/>
      </rPr>
      <t>)</t>
    </r>
  </si>
  <si>
    <t>뇌출혈진단</t>
  </si>
  <si>
    <t>뇌혈관질환진단비Ⅱ</t>
  </si>
  <si>
    <r>
      <rPr>
        <sz val="11"/>
        <color rgb="FF000000"/>
        <rFont val="Noto Sans CJK SC"/>
        <family val="2"/>
      </rPr>
      <t>상해중환자실입원일당</t>
    </r>
    <r>
      <rPr>
        <sz val="11"/>
        <color rgb="FF000000"/>
        <rFont val="맑은 고딕"/>
        <family val="3"/>
        <charset val="129"/>
      </rPr>
      <t>(1</t>
    </r>
    <r>
      <rPr>
        <sz val="11"/>
        <color rgb="FF000000"/>
        <rFont val="Noto Sans CJK SC"/>
        <family val="2"/>
      </rPr>
      <t>일이상</t>
    </r>
    <r>
      <rPr>
        <sz val="11"/>
        <color rgb="FF000000"/>
        <rFont val="맑은 고딕"/>
        <family val="3"/>
        <charset val="129"/>
      </rPr>
      <t>180</t>
    </r>
    <r>
      <rPr>
        <sz val="11"/>
        <color rgb="FF000000"/>
        <rFont val="Noto Sans CJK SC"/>
        <family val="2"/>
      </rPr>
      <t>일한도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</si>
  <si>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표적항암방사선치료비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항암세기조절방사선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</si>
  <si>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항암양성자방사선치료비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</si>
  <si>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t>가족생활배상책임담보</t>
  </si>
  <si>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무</t>
    </r>
    <r>
      <rPr>
        <sz val="11"/>
        <color rgb="FF000000"/>
        <rFont val="맑은 고딕"/>
        <family val="3"/>
        <charset val="129"/>
      </rPr>
      <t>) All New</t>
    </r>
    <r>
      <rPr>
        <sz val="11"/>
        <color rgb="FF000000"/>
        <rFont val="Noto Sans CJK SC"/>
        <family val="2"/>
      </rPr>
      <t>리치하우스가정종합보험</t>
    </r>
    <r>
      <rPr>
        <sz val="11"/>
        <color rgb="FF000000"/>
        <rFont val="맑은 고딕"/>
        <family val="3"/>
        <charset val="129"/>
      </rPr>
      <t>2404</t>
    </r>
  </si>
  <si>
    <r>
      <rPr>
        <sz val="11"/>
        <color rgb="FF000000"/>
        <rFont val="Noto Sans CJK SC"/>
        <family val="2"/>
      </rPr>
      <t>항암중입자방사선치료비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</si>
  <si>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화상치료비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중대한화상및부식진단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</si>
  <si>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질병중환자실입원일당</t>
    </r>
    <r>
      <rPr>
        <sz val="11"/>
        <color rgb="FF000000"/>
        <rFont val="맑은 고딕"/>
        <family val="3"/>
        <charset val="129"/>
      </rPr>
      <t>(1</t>
    </r>
    <r>
      <rPr>
        <sz val="11"/>
        <color rgb="FF000000"/>
        <rFont val="Noto Sans CJK SC"/>
        <family val="2"/>
      </rPr>
      <t>일이상</t>
    </r>
    <r>
      <rPr>
        <sz val="11"/>
        <color rgb="FF000000"/>
        <rFont val="맑은 고딕"/>
        <family val="3"/>
        <charset val="129"/>
      </rPr>
      <t>180</t>
    </r>
    <r>
      <rPr>
        <sz val="11"/>
        <color rgb="FF000000"/>
        <rFont val="Noto Sans CJK SC"/>
        <family val="2"/>
      </rPr>
      <t>일한도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</si>
  <si>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표적항암약물허가치료비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</si>
  <si>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비급여표적항암약물허가치료비Ⅱ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최초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회한</t>
    </r>
    <r>
      <rPr>
        <sz val="11"/>
        <color rgb="FF000000"/>
        <rFont val="맑은 고딕"/>
        <family val="3"/>
        <charset val="129"/>
      </rPr>
      <t>)(</t>
    </r>
    <r>
      <rPr>
        <sz val="11"/>
        <color rgb="FF000000"/>
        <rFont val="Noto Sans CJK SC"/>
        <family val="2"/>
      </rPr>
      <t>갱신형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</si>
  <si>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항암방사선약물치료비Ⅱ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유사암포함</t>
    </r>
    <r>
      <rPr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</si>
  <si>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Noto Sans CJK SC"/>
        <family val="2"/>
      </rPr>
      <t>화상치료비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화상진단</t>
    </r>
    <r>
      <rPr>
        <sz val="11"/>
        <color rgb="FF000000"/>
        <rFont val="맑은 고딕"/>
        <family val="3"/>
        <charset val="129"/>
      </rPr>
      <t>)</t>
    </r>
  </si>
  <si>
    <t>std</t>
  </si>
  <si>
    <t>raw</t>
  </si>
  <si>
    <t>amt</t>
  </si>
  <si>
    <r>
      <t>DB</t>
    </r>
    <r>
      <rPr>
        <b/>
        <sz val="9"/>
        <color theme="0"/>
        <rFont val="Noto Sans CJK SC"/>
        <family val="2"/>
      </rPr>
      <t>손해보험
나에게 맞춘 더좋은 초경증 간편건강보험</t>
    </r>
    <r>
      <rPr>
        <b/>
        <sz val="9"/>
        <color theme="0"/>
        <rFont val="맑은 고딕"/>
        <family val="3"/>
        <charset val="129"/>
      </rPr>
      <t>2607
[</t>
    </r>
    <r>
      <rPr>
        <b/>
        <sz val="9"/>
        <color theme="0"/>
        <rFont val="Noto Sans CJK SC"/>
        <family val="2"/>
      </rPr>
      <t>비갱신</t>
    </r>
    <r>
      <rPr>
        <b/>
        <sz val="9"/>
        <color theme="0"/>
        <rFont val="맑은 고딕"/>
        <family val="3"/>
        <charset val="129"/>
      </rPr>
      <t>]</t>
    </r>
  </si>
  <si>
    <t>20/30/100/1000/1000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</si>
</sst>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\-_-;_-@_-"/>
  </numFmts>
  <fonts count="37">
    <font>
      <sz val="11"/>
      <color rgb="FF000000"/>
      <name val="맑은 고딕"/>
      <family val="3"/>
      <charset val="129"/>
    </font>
    <font>
      <b/>
      <sz val="16"/>
      <name val="Noto Sans CJK SC"/>
      <family val="2"/>
      <charset val="1"/>
    </font>
    <font>
      <b/>
      <sz val="9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Noto Sans CJK SC"/>
      <family val="2"/>
    </font>
    <font>
      <b/>
      <sz val="9"/>
      <color rgb="FF000000"/>
      <name val="Noto Sans CJK SC"/>
      <family val="2"/>
      <charset val="1"/>
    </font>
    <font>
      <sz val="9"/>
      <color rgb="FF0070C0"/>
      <name val="맑은 고딕"/>
      <family val="3"/>
      <charset val="129"/>
    </font>
    <font>
      <sz val="9"/>
      <color rgb="FF0070C0"/>
      <name val="Noto Sans CJK SC"/>
      <family val="2"/>
    </font>
    <font>
      <sz val="9"/>
      <color rgb="FF0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8"/>
      <color rgb="FF000000"/>
      <name val="Noto Sans CJK SC"/>
      <family val="2"/>
      <charset val="1"/>
    </font>
    <font>
      <b/>
      <sz val="8"/>
      <color rgb="FF000000"/>
      <name val="맑은 고딕"/>
      <family val="3"/>
      <charset val="129"/>
    </font>
    <font>
      <sz val="9"/>
      <color rgb="FFC00000"/>
      <name val="Noto Sans CJK SC"/>
      <family val="2"/>
    </font>
    <font>
      <b/>
      <sz val="10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b/>
      <sz val="12"/>
      <color rgb="FF1F7A1F"/>
      <name val="Cambria"/>
      <family val="1"/>
    </font>
    <font>
      <b/>
      <sz val="12"/>
      <color rgb="FF1F7A1F"/>
      <name val="Noto Sans CJK SC"/>
      <family val="2"/>
    </font>
    <font>
      <b/>
      <sz val="12"/>
      <color rgb="FFC0392B"/>
      <name val="Cambria"/>
      <family val="1"/>
    </font>
    <font>
      <b/>
      <sz val="12"/>
      <color rgb="FFC0392B"/>
      <name val="Noto Sans CJK SC"/>
      <family val="2"/>
    </font>
    <font>
      <b/>
      <sz val="11"/>
      <color rgb="FFC0392B"/>
      <name val="Noto Sans CJK SC"/>
      <family val="2"/>
    </font>
    <font>
      <b/>
      <sz val="13"/>
      <color rgb="FF1F7A1F"/>
      <name val="Cambria"/>
      <family val="1"/>
    </font>
    <font>
      <b/>
      <sz val="13"/>
      <color rgb="FF1F7A1F"/>
      <name val="Noto Sans CJK SC"/>
      <family val="2"/>
    </font>
    <font>
      <b/>
      <sz val="12"/>
      <color rgb="FF7A5C00"/>
      <name val="Cambria"/>
      <family val="1"/>
    </font>
    <font>
      <b/>
      <sz val="12"/>
      <color rgb="FF7A5C00"/>
      <name val="Noto Sans CJK SC"/>
      <family val="2"/>
    </font>
    <font>
      <b/>
      <sz val="11"/>
      <name val="Noto Sans CJK SC"/>
      <family val="2"/>
    </font>
    <font>
      <b/>
      <sz val="12"/>
      <color rgb="FF1F3864"/>
      <name val="Cambria"/>
      <family val="1"/>
    </font>
    <font>
      <b/>
      <sz val="12"/>
      <color rgb="FF1F3864"/>
      <name val="Noto Sans CJK SC"/>
      <family val="2"/>
    </font>
    <font>
      <b/>
      <sz val="11"/>
      <color rgb="FFFFFFFF"/>
      <name val="Cambria"/>
      <family val="1"/>
    </font>
    <font>
      <b/>
      <sz val="11"/>
      <color rgb="FFFFFFFF"/>
      <name val="Noto Sans CJK SC"/>
      <family val="2"/>
    </font>
    <font>
      <b/>
      <sz val="9"/>
      <color theme="0"/>
      <name val="맑은 고딕"/>
      <family val="3"/>
      <charset val="129"/>
    </font>
    <font>
      <b/>
      <sz val="9"/>
      <color theme="0"/>
      <name val="Noto Sans CJK SC"/>
      <family val="2"/>
    </font>
    <font>
      <sz val="8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75623"/>
        <bgColor rgb="FF3333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2CC"/>
      </patternFill>
    </fill>
    <fill>
      <patternFill patternType="solid">
        <fgColor theme="8" tint="0.79989013336588644"/>
        <bgColor rgb="FFFFF2CC"/>
      </patternFill>
    </fill>
    <fill>
      <patternFill patternType="solid">
        <fgColor rgb="FF1F3864"/>
        <bgColor rgb="FF375623"/>
      </patternFill>
    </fill>
    <fill>
      <patternFill patternType="solid">
        <fgColor rgb="FF1456B0"/>
        <bgColor rgb="FF0070C0"/>
      </patternFill>
    </fill>
    <fill>
      <patternFill patternType="solid">
        <fgColor rgb="FFFFF2CC"/>
        <bgColor rgb="FFFFF1C1"/>
      </patternFill>
    </fill>
    <fill>
      <patternFill patternType="solid">
        <fgColor theme="1"/>
        <bgColor rgb="FF3333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2CC"/>
      </patternFill>
    </fill>
    <fill>
      <patternFill patternType="solid">
        <fgColor theme="1"/>
        <bgColor rgb="FFFFFFCC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176" fontId="2" fillId="3" borderId="2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176" fontId="2" fillId="5" borderId="3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76" fontId="15" fillId="7" borderId="7" xfId="0" applyNumberFormat="1" applyFont="1" applyFill="1" applyBorder="1" applyAlignment="1">
      <alignment horizontal="center" vertical="center"/>
    </xf>
    <xf numFmtId="3" fontId="9" fillId="7" borderId="8" xfId="0" applyNumberFormat="1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76" fontId="15" fillId="7" borderId="9" xfId="0" applyNumberFormat="1" applyFont="1" applyFill="1" applyBorder="1" applyAlignment="1">
      <alignment horizontal="center" vertical="center"/>
    </xf>
    <xf numFmtId="3" fontId="9" fillId="7" borderId="10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76" fontId="15" fillId="2" borderId="9" xfId="0" applyNumberFormat="1" applyFont="1" applyFill="1" applyBorder="1" applyAlignment="1">
      <alignment horizontal="center" vertical="center"/>
    </xf>
    <xf numFmtId="3" fontId="9" fillId="2" borderId="1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6" fontId="15" fillId="2" borderId="5" xfId="0" applyNumberFormat="1" applyFont="1" applyFill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center" vertical="center"/>
    </xf>
    <xf numFmtId="3" fontId="9" fillId="2" borderId="6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3" fontId="7" fillId="7" borderId="9" xfId="0" applyNumberFormat="1" applyFont="1" applyFill="1" applyBorder="1" applyAlignment="1">
      <alignment horizontal="center" vertical="center"/>
    </xf>
    <xf numFmtId="3" fontId="10" fillId="7" borderId="9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176" fontId="16" fillId="2" borderId="9" xfId="0" applyNumberFormat="1" applyFont="1" applyFill="1" applyBorder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0" fontId="0" fillId="0" borderId="9" xfId="0" applyBorder="1" applyAlignment="1"/>
    <xf numFmtId="3" fontId="9" fillId="0" borderId="10" xfId="0" applyNumberFormat="1" applyFont="1" applyBorder="1" applyAlignment="1"/>
    <xf numFmtId="0" fontId="1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6" fontId="10" fillId="0" borderId="9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6" fontId="15" fillId="0" borderId="7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0" fontId="17" fillId="0" borderId="0" xfId="0" applyFont="1" applyAlignment="1"/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9" fillId="0" borderId="0" xfId="0" applyFont="1">
      <alignment vertical="center"/>
    </xf>
    <xf numFmtId="0" fontId="20" fillId="0" borderId="0" xfId="0" applyFont="1" applyAlignment="1"/>
    <xf numFmtId="0" fontId="22" fillId="0" borderId="0" xfId="0" applyFont="1" applyAlignment="1"/>
    <xf numFmtId="0" fontId="19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7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32" fillId="9" borderId="0" xfId="0" applyFont="1" applyFill="1" applyAlignment="1"/>
    <xf numFmtId="0" fontId="33" fillId="9" borderId="0" xfId="0" applyFont="1" applyFill="1" applyAlignment="1"/>
    <xf numFmtId="0" fontId="19" fillId="0" borderId="0" xfId="0" applyFont="1" applyAlignment="1">
      <alignment vertical="top" wrapText="1"/>
    </xf>
    <xf numFmtId="0" fontId="33" fillId="10" borderId="0" xfId="0" applyFont="1" applyFill="1" applyAlignment="1"/>
    <xf numFmtId="0" fontId="0" fillId="11" borderId="0" xfId="0" applyFill="1" applyAlignment="1"/>
    <xf numFmtId="0" fontId="19" fillId="11" borderId="0" xfId="0" applyFont="1" applyFill="1" applyAlignment="1"/>
    <xf numFmtId="176" fontId="34" fillId="4" borderId="2" xfId="0" applyNumberFormat="1" applyFont="1" applyFill="1" applyBorder="1" applyAlignment="1">
      <alignment horizontal="center" vertical="center" wrapText="1"/>
    </xf>
    <xf numFmtId="176" fontId="3" fillId="12" borderId="2" xfId="0" applyNumberFormat="1" applyFont="1" applyFill="1" applyBorder="1" applyAlignment="1">
      <alignment horizontal="center" vertical="center" wrapText="1"/>
    </xf>
    <xf numFmtId="176" fontId="9" fillId="13" borderId="5" xfId="0" applyNumberFormat="1" applyFont="1" applyFill="1" applyBorder="1" applyAlignment="1">
      <alignment horizontal="center" vertical="center"/>
    </xf>
    <xf numFmtId="176" fontId="15" fillId="14" borderId="7" xfId="0" applyNumberFormat="1" applyFont="1" applyFill="1" applyBorder="1" applyAlignment="1">
      <alignment horizontal="center" vertical="center"/>
    </xf>
    <xf numFmtId="176" fontId="15" fillId="14" borderId="9" xfId="0" applyNumberFormat="1" applyFont="1" applyFill="1" applyBorder="1" applyAlignment="1">
      <alignment horizontal="center" vertical="center"/>
    </xf>
    <xf numFmtId="176" fontId="15" fillId="15" borderId="9" xfId="0" applyNumberFormat="1" applyFont="1" applyFill="1" applyBorder="1" applyAlignment="1">
      <alignment horizontal="center" vertical="center"/>
    </xf>
    <xf numFmtId="176" fontId="15" fillId="15" borderId="5" xfId="0" applyNumberFormat="1" applyFont="1" applyFill="1" applyBorder="1" applyAlignment="1">
      <alignment horizontal="center" vertical="center"/>
    </xf>
    <xf numFmtId="176" fontId="16" fillId="15" borderId="9" xfId="0" applyNumberFormat="1" applyFont="1" applyFill="1" applyBorder="1" applyAlignment="1">
      <alignment horizontal="center" vertical="center"/>
    </xf>
    <xf numFmtId="176" fontId="15" fillId="13" borderId="9" xfId="0" applyNumberFormat="1" applyFont="1" applyFill="1" applyBorder="1" applyAlignment="1">
      <alignment horizontal="center" vertical="center"/>
    </xf>
    <xf numFmtId="176" fontId="15" fillId="13" borderId="5" xfId="0" applyNumberFormat="1" applyFont="1" applyFill="1" applyBorder="1" applyAlignment="1">
      <alignment horizontal="center" vertical="center"/>
    </xf>
    <xf numFmtId="0" fontId="0" fillId="13" borderId="9" xfId="0" applyFill="1" applyBorder="1" applyAlignment="1"/>
    <xf numFmtId="176" fontId="15" fillId="13" borderId="7" xfId="0" applyNumberFormat="1" applyFont="1" applyFill="1" applyBorder="1" applyAlignment="1">
      <alignment horizontal="center" vertical="center"/>
    </xf>
    <xf numFmtId="176" fontId="16" fillId="13" borderId="9" xfId="0" applyNumberFormat="1" applyFont="1" applyFill="1" applyBorder="1" applyAlignment="1">
      <alignment horizontal="center" vertical="center"/>
    </xf>
    <xf numFmtId="3" fontId="7" fillId="13" borderId="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F7A1F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C1"/>
      <rgbColor rgb="FF99CCFF"/>
      <rgbColor rgb="FFFF99CC"/>
      <rgbColor rgb="FFCC99FF"/>
      <rgbColor rgb="FFFFF2CC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1456B0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6"/>
  <sheetViews>
    <sheetView tabSelected="1" zoomScaleNormal="100" workbookViewId="0">
      <selection activeCell="E106" sqref="E1:E106"/>
    </sheetView>
  </sheetViews>
  <sheetFormatPr defaultColWidth="9" defaultRowHeight="16.5"/>
  <cols>
    <col min="1" max="1" width="6.5" style="6" customWidth="1"/>
    <col min="2" max="2" width="22" style="6" customWidth="1"/>
    <col min="3" max="4" width="25.125" style="6" customWidth="1"/>
    <col min="5" max="5" width="1" style="6" customWidth="1"/>
    <col min="6" max="7" width="25.125" style="6" customWidth="1"/>
    <col min="8" max="8" width="12" style="6" customWidth="1"/>
    <col min="9" max="9" width="16.5" style="6" customWidth="1"/>
    <col min="10" max="10" width="14.5" style="6" customWidth="1"/>
    <col min="11" max="11" width="22.875" style="6" customWidth="1"/>
    <col min="12" max="12" width="1.5" style="6" customWidth="1"/>
    <col min="13" max="19" width="11.375" style="6" customWidth="1"/>
  </cols>
  <sheetData>
    <row r="1" spans="1:7" ht="84.75" customHeight="1">
      <c r="A1" s="5" t="s">
        <v>0</v>
      </c>
      <c r="B1" s="5"/>
      <c r="C1" s="7" t="s">
        <v>1</v>
      </c>
      <c r="D1" s="8" t="s">
        <v>2</v>
      </c>
      <c r="E1" s="77"/>
      <c r="F1" s="76" t="s">
        <v>346</v>
      </c>
      <c r="G1" s="9" t="s">
        <v>3</v>
      </c>
    </row>
    <row r="2" spans="1:7" ht="16.5" customHeight="1">
      <c r="A2" s="4" t="s">
        <v>4</v>
      </c>
      <c r="B2" s="4"/>
      <c r="C2" s="10" t="s">
        <v>5</v>
      </c>
      <c r="D2" s="11"/>
      <c r="E2" s="78"/>
      <c r="F2" s="12">
        <v>159644</v>
      </c>
      <c r="G2" s="13">
        <f>SUM(C2:F2)</f>
        <v>159644</v>
      </c>
    </row>
    <row r="3" spans="1:7" ht="16.5" customHeight="1">
      <c r="A3" s="3" t="s">
        <v>6</v>
      </c>
      <c r="B3" s="3"/>
      <c r="C3" s="10" t="s">
        <v>7</v>
      </c>
      <c r="D3" s="11"/>
      <c r="E3" s="78"/>
      <c r="F3" s="11"/>
      <c r="G3" s="14"/>
    </row>
    <row r="4" spans="1:7" ht="16.5" customHeight="1">
      <c r="A4" s="3" t="s">
        <v>8</v>
      </c>
      <c r="B4" s="3"/>
      <c r="C4" s="10" t="s">
        <v>9</v>
      </c>
      <c r="D4" s="11"/>
      <c r="E4" s="78"/>
      <c r="F4" s="11"/>
      <c r="G4" s="14"/>
    </row>
    <row r="5" spans="1:7" ht="17.25" customHeight="1">
      <c r="A5" s="3" t="s">
        <v>10</v>
      </c>
      <c r="B5" s="3"/>
      <c r="C5" s="10" t="s">
        <v>11</v>
      </c>
      <c r="D5" s="11" t="s">
        <v>12</v>
      </c>
      <c r="E5" s="78"/>
      <c r="F5" s="15" t="s">
        <v>13</v>
      </c>
      <c r="G5" s="16"/>
    </row>
    <row r="6" spans="1:7" ht="16.5" customHeight="1">
      <c r="A6" s="2" t="s">
        <v>14</v>
      </c>
      <c r="B6" s="17" t="s">
        <v>15</v>
      </c>
      <c r="C6" s="18"/>
      <c r="D6" s="18"/>
      <c r="E6" s="79"/>
      <c r="F6" s="18"/>
      <c r="G6" s="19">
        <f t="shared" ref="G6:G23" si="0">SUM(C6:F6)</f>
        <v>0</v>
      </c>
    </row>
    <row r="7" spans="1:7" ht="17.25" customHeight="1">
      <c r="A7" s="2"/>
      <c r="B7" s="20" t="s">
        <v>16</v>
      </c>
      <c r="C7" s="21"/>
      <c r="D7" s="21"/>
      <c r="E7" s="80"/>
      <c r="F7" s="21"/>
      <c r="G7" s="22">
        <f t="shared" si="0"/>
        <v>0</v>
      </c>
    </row>
    <row r="8" spans="1:7" ht="17.25" customHeight="1">
      <c r="A8" s="2"/>
      <c r="B8" s="23" t="s">
        <v>17</v>
      </c>
      <c r="C8" s="24"/>
      <c r="D8" s="24"/>
      <c r="E8" s="81"/>
      <c r="F8" s="24"/>
      <c r="G8" s="25">
        <f t="shared" si="0"/>
        <v>0</v>
      </c>
    </row>
    <row r="9" spans="1:7" ht="16.5" customHeight="1">
      <c r="A9" s="2"/>
      <c r="B9" s="23" t="s">
        <v>18</v>
      </c>
      <c r="C9" s="24"/>
      <c r="D9" s="24"/>
      <c r="E9" s="81"/>
      <c r="F9" s="24"/>
      <c r="G9" s="25">
        <f t="shared" si="0"/>
        <v>0</v>
      </c>
    </row>
    <row r="10" spans="1:7" ht="17.25" customHeight="1">
      <c r="A10" s="2"/>
      <c r="B10" s="26" t="s">
        <v>19</v>
      </c>
      <c r="C10" s="27"/>
      <c r="D10" s="27"/>
      <c r="E10" s="82"/>
      <c r="F10" s="28">
        <v>3000</v>
      </c>
      <c r="G10" s="29">
        <f t="shared" si="0"/>
        <v>3000</v>
      </c>
    </row>
    <row r="11" spans="1:7" ht="16.5" customHeight="1">
      <c r="A11" s="1" t="s">
        <v>20</v>
      </c>
      <c r="B11" s="23" t="s">
        <v>21</v>
      </c>
      <c r="C11" s="24"/>
      <c r="D11" s="24"/>
      <c r="E11" s="81"/>
      <c r="F11" s="24"/>
      <c r="G11" s="25">
        <f t="shared" si="0"/>
        <v>0</v>
      </c>
    </row>
    <row r="12" spans="1:7" ht="16.5" customHeight="1">
      <c r="A12" s="1"/>
      <c r="B12" s="23" t="s">
        <v>22</v>
      </c>
      <c r="C12" s="24"/>
      <c r="D12" s="24"/>
      <c r="E12" s="81"/>
      <c r="F12" s="24"/>
      <c r="G12" s="25">
        <f t="shared" si="0"/>
        <v>0</v>
      </c>
    </row>
    <row r="13" spans="1:7" ht="16.5" customHeight="1">
      <c r="A13" s="1"/>
      <c r="B13" s="23" t="s">
        <v>23</v>
      </c>
      <c r="C13" s="24"/>
      <c r="D13" s="24"/>
      <c r="E13" s="81"/>
      <c r="F13" s="24"/>
      <c r="G13" s="25">
        <f t="shared" si="0"/>
        <v>0</v>
      </c>
    </row>
    <row r="14" spans="1:7" ht="17.25" customHeight="1">
      <c r="A14" s="1"/>
      <c r="B14" s="26" t="s">
        <v>24</v>
      </c>
      <c r="C14" s="27"/>
      <c r="D14" s="27"/>
      <c r="E14" s="82"/>
      <c r="F14" s="27"/>
      <c r="G14" s="29">
        <f t="shared" si="0"/>
        <v>0</v>
      </c>
    </row>
    <row r="15" spans="1:7" ht="17.25" customHeight="1">
      <c r="A15" s="1" t="s">
        <v>25</v>
      </c>
      <c r="B15" s="23" t="s">
        <v>26</v>
      </c>
      <c r="C15" s="24"/>
      <c r="D15" s="24"/>
      <c r="E15" s="81"/>
      <c r="F15" s="24"/>
      <c r="G15" s="25">
        <f t="shared" si="0"/>
        <v>0</v>
      </c>
    </row>
    <row r="16" spans="1:7" ht="16.5" customHeight="1">
      <c r="A16" s="1"/>
      <c r="B16" s="20" t="s">
        <v>27</v>
      </c>
      <c r="C16" s="21"/>
      <c r="D16" s="21"/>
      <c r="E16" s="80"/>
      <c r="F16" s="21"/>
      <c r="G16" s="22">
        <f t="shared" si="0"/>
        <v>0</v>
      </c>
    </row>
    <row r="17" spans="1:7" ht="16.5" customHeight="1">
      <c r="A17" s="1"/>
      <c r="B17" s="20" t="s">
        <v>28</v>
      </c>
      <c r="C17" s="31">
        <v>3000</v>
      </c>
      <c r="D17" s="21"/>
      <c r="E17" s="80"/>
      <c r="F17" s="32">
        <v>1000</v>
      </c>
      <c r="G17" s="22">
        <f t="shared" si="0"/>
        <v>4000</v>
      </c>
    </row>
    <row r="18" spans="1:7" ht="17.25" customHeight="1">
      <c r="A18" s="1"/>
      <c r="B18" s="20" t="s">
        <v>29</v>
      </c>
      <c r="C18" s="21"/>
      <c r="D18" s="21"/>
      <c r="E18" s="80"/>
      <c r="F18" s="21"/>
      <c r="G18" s="22">
        <f t="shared" si="0"/>
        <v>0</v>
      </c>
    </row>
    <row r="19" spans="1:7" ht="16.5" customHeight="1">
      <c r="A19" s="1"/>
      <c r="B19" s="23" t="s">
        <v>30</v>
      </c>
      <c r="C19" s="24"/>
      <c r="D19" s="24"/>
      <c r="E19" s="81"/>
      <c r="F19" s="33">
        <v>200</v>
      </c>
      <c r="G19" s="25">
        <f t="shared" si="0"/>
        <v>200</v>
      </c>
    </row>
    <row r="20" spans="1:7" ht="16.5" customHeight="1">
      <c r="A20" s="1"/>
      <c r="B20" s="23" t="s">
        <v>31</v>
      </c>
      <c r="C20" s="24"/>
      <c r="D20" s="24"/>
      <c r="E20" s="81"/>
      <c r="F20" s="24"/>
      <c r="G20" s="25">
        <f t="shared" si="0"/>
        <v>0</v>
      </c>
    </row>
    <row r="21" spans="1:7" ht="16.5" customHeight="1">
      <c r="A21" s="1"/>
      <c r="B21" s="23" t="s">
        <v>32</v>
      </c>
      <c r="C21" s="34"/>
      <c r="D21" s="34"/>
      <c r="E21" s="83"/>
      <c r="F21" s="33">
        <v>1000</v>
      </c>
      <c r="G21" s="25">
        <f t="shared" si="0"/>
        <v>1000</v>
      </c>
    </row>
    <row r="22" spans="1:7" ht="16.5" customHeight="1">
      <c r="A22" s="1"/>
      <c r="B22" s="23" t="s">
        <v>33</v>
      </c>
      <c r="C22" s="34"/>
      <c r="D22" s="34"/>
      <c r="E22" s="83"/>
      <c r="F22" s="34"/>
      <c r="G22" s="25">
        <f t="shared" si="0"/>
        <v>0</v>
      </c>
    </row>
    <row r="23" spans="1:7" ht="16.5" customHeight="1">
      <c r="A23" s="1"/>
      <c r="B23" s="23" t="s">
        <v>34</v>
      </c>
      <c r="C23" s="24"/>
      <c r="D23" s="24"/>
      <c r="E23" s="81"/>
      <c r="F23" s="24"/>
      <c r="G23" s="25">
        <f t="shared" si="0"/>
        <v>0</v>
      </c>
    </row>
    <row r="24" spans="1:7" ht="16.5" customHeight="1">
      <c r="A24" s="1"/>
      <c r="B24" s="23" t="s">
        <v>35</v>
      </c>
      <c r="C24" s="34"/>
      <c r="D24" s="34"/>
      <c r="E24" s="83"/>
      <c r="F24" s="33">
        <v>5000</v>
      </c>
      <c r="G24" s="25">
        <f>IF(COUNT(C24:F24)=0,0,MAX(C24:F24))</f>
        <v>5000</v>
      </c>
    </row>
    <row r="25" spans="1:7" ht="16.5" customHeight="1">
      <c r="A25" s="1"/>
      <c r="B25" s="23" t="s">
        <v>36</v>
      </c>
      <c r="C25" s="34"/>
      <c r="D25" s="34"/>
      <c r="E25" s="83"/>
      <c r="F25" s="33">
        <v>5000</v>
      </c>
      <c r="G25" s="25">
        <f t="shared" ref="G25:G59" si="1">SUM(C25:F25)</f>
        <v>5000</v>
      </c>
    </row>
    <row r="26" spans="1:7" ht="16.5" customHeight="1">
      <c r="A26" s="1"/>
      <c r="B26" s="23" t="s">
        <v>37</v>
      </c>
      <c r="C26" s="34"/>
      <c r="D26" s="34"/>
      <c r="E26" s="83"/>
      <c r="F26" s="33">
        <v>2000</v>
      </c>
      <c r="G26" s="25">
        <f t="shared" si="1"/>
        <v>2000</v>
      </c>
    </row>
    <row r="27" spans="1:7" ht="16.5" customHeight="1">
      <c r="A27" s="1"/>
      <c r="B27" s="23" t="s">
        <v>38</v>
      </c>
      <c r="C27" s="34"/>
      <c r="D27" s="34"/>
      <c r="E27" s="83"/>
      <c r="F27" s="33">
        <v>1000</v>
      </c>
      <c r="G27" s="25">
        <f t="shared" si="1"/>
        <v>1000</v>
      </c>
    </row>
    <row r="28" spans="1:7" ht="16.5" customHeight="1">
      <c r="A28" s="1"/>
      <c r="B28" s="23" t="s">
        <v>39</v>
      </c>
      <c r="C28" s="34"/>
      <c r="D28" s="34"/>
      <c r="E28" s="83"/>
      <c r="F28" s="34"/>
      <c r="G28" s="25">
        <f t="shared" si="1"/>
        <v>0</v>
      </c>
    </row>
    <row r="29" spans="1:7" ht="16.5" customHeight="1">
      <c r="A29" s="1"/>
      <c r="B29" s="23" t="s">
        <v>40</v>
      </c>
      <c r="C29" s="35">
        <v>100</v>
      </c>
      <c r="D29" s="24"/>
      <c r="E29" s="81"/>
      <c r="F29" s="33">
        <v>1000</v>
      </c>
      <c r="G29" s="25">
        <f t="shared" si="1"/>
        <v>1100</v>
      </c>
    </row>
    <row r="30" spans="1:7" ht="17.25" customHeight="1">
      <c r="A30" s="1"/>
      <c r="B30" s="23" t="s">
        <v>41</v>
      </c>
      <c r="C30" s="35">
        <v>8</v>
      </c>
      <c r="D30" s="24"/>
      <c r="E30" s="81"/>
      <c r="F30" s="24"/>
      <c r="G30" s="25">
        <f t="shared" si="1"/>
        <v>8</v>
      </c>
    </row>
    <row r="31" spans="1:7" ht="17.25" customHeight="1">
      <c r="A31" s="1"/>
      <c r="B31" s="26" t="s">
        <v>42</v>
      </c>
      <c r="C31" s="27"/>
      <c r="D31" s="27"/>
      <c r="E31" s="82"/>
      <c r="F31" s="28">
        <v>500</v>
      </c>
      <c r="G31" s="29">
        <f t="shared" si="1"/>
        <v>500</v>
      </c>
    </row>
    <row r="32" spans="1:7" ht="16.5" customHeight="1">
      <c r="A32" s="1" t="s">
        <v>43</v>
      </c>
      <c r="B32" s="23" t="s">
        <v>44</v>
      </c>
      <c r="C32" s="24"/>
      <c r="D32" s="24"/>
      <c r="E32" s="81"/>
      <c r="F32" s="33">
        <v>1000</v>
      </c>
      <c r="G32" s="25">
        <f t="shared" si="1"/>
        <v>1000</v>
      </c>
    </row>
    <row r="33" spans="1:7" ht="17.25" customHeight="1">
      <c r="A33" s="1"/>
      <c r="B33" s="20" t="s">
        <v>45</v>
      </c>
      <c r="C33" s="21"/>
      <c r="D33" s="21"/>
      <c r="E33" s="80"/>
      <c r="F33" s="21"/>
      <c r="G33" s="22">
        <f t="shared" si="1"/>
        <v>0</v>
      </c>
    </row>
    <row r="34" spans="1:7" ht="16.5" customHeight="1">
      <c r="A34" s="1"/>
      <c r="B34" s="20" t="s">
        <v>46</v>
      </c>
      <c r="C34" s="21"/>
      <c r="D34" s="21"/>
      <c r="E34" s="80"/>
      <c r="F34" s="21"/>
      <c r="G34" s="22">
        <f t="shared" si="1"/>
        <v>0</v>
      </c>
    </row>
    <row r="35" spans="1:7" ht="16.5" customHeight="1">
      <c r="A35" s="1"/>
      <c r="B35" s="36" t="s">
        <v>47</v>
      </c>
      <c r="C35" s="37">
        <v>3000</v>
      </c>
      <c r="D35" s="38"/>
      <c r="E35" s="84"/>
      <c r="F35" s="38"/>
      <c r="G35" s="39">
        <f t="shared" si="1"/>
        <v>3000</v>
      </c>
    </row>
    <row r="36" spans="1:7" ht="16.5" customHeight="1">
      <c r="A36" s="1"/>
      <c r="B36" s="36" t="s">
        <v>48</v>
      </c>
      <c r="C36" s="38"/>
      <c r="D36" s="38"/>
      <c r="E36" s="84"/>
      <c r="F36" s="38"/>
      <c r="G36" s="39">
        <f t="shared" si="1"/>
        <v>0</v>
      </c>
    </row>
    <row r="37" spans="1:7" ht="16.5" customHeight="1">
      <c r="A37" s="1"/>
      <c r="B37" s="23" t="s">
        <v>49</v>
      </c>
      <c r="C37" s="38"/>
      <c r="D37" s="38"/>
      <c r="E37" s="84"/>
      <c r="F37" s="38"/>
      <c r="G37" s="39">
        <f t="shared" si="1"/>
        <v>0</v>
      </c>
    </row>
    <row r="38" spans="1:7" ht="16.5" customHeight="1">
      <c r="A38" s="1"/>
      <c r="B38" s="23" t="s">
        <v>50</v>
      </c>
      <c r="C38" s="38"/>
      <c r="D38" s="38"/>
      <c r="E38" s="84"/>
      <c r="F38" s="38"/>
      <c r="G38" s="39">
        <f t="shared" si="1"/>
        <v>0</v>
      </c>
    </row>
    <row r="39" spans="1:7" ht="16.5" customHeight="1">
      <c r="A39" s="1"/>
      <c r="B39" s="23" t="s">
        <v>51</v>
      </c>
      <c r="C39" s="38"/>
      <c r="D39" s="38"/>
      <c r="E39" s="84"/>
      <c r="F39" s="40">
        <v>1000</v>
      </c>
      <c r="G39" s="39">
        <f t="shared" si="1"/>
        <v>1000</v>
      </c>
    </row>
    <row r="40" spans="1:7" ht="16.5" customHeight="1">
      <c r="A40" s="1"/>
      <c r="B40" s="26" t="s">
        <v>52</v>
      </c>
      <c r="C40" s="41"/>
      <c r="D40" s="41"/>
      <c r="E40" s="85"/>
      <c r="F40" s="41"/>
      <c r="G40" s="13">
        <f t="shared" si="1"/>
        <v>0</v>
      </c>
    </row>
    <row r="41" spans="1:7" ht="16.5" customHeight="1">
      <c r="A41" s="1" t="s">
        <v>53</v>
      </c>
      <c r="B41" s="23" t="s">
        <v>54</v>
      </c>
      <c r="C41" s="38"/>
      <c r="D41" s="38"/>
      <c r="E41" s="84"/>
      <c r="F41" s="40">
        <v>1000</v>
      </c>
      <c r="G41" s="39">
        <f t="shared" si="1"/>
        <v>1000</v>
      </c>
    </row>
    <row r="42" spans="1:7" ht="16.5" customHeight="1">
      <c r="A42" s="1"/>
      <c r="B42" s="23" t="s">
        <v>55</v>
      </c>
      <c r="C42" s="38"/>
      <c r="D42" s="38"/>
      <c r="E42" s="84"/>
      <c r="F42" s="40">
        <v>500</v>
      </c>
      <c r="G42" s="39">
        <f t="shared" si="1"/>
        <v>500</v>
      </c>
    </row>
    <row r="43" spans="1:7" ht="17.25" customHeight="1">
      <c r="A43" s="1"/>
      <c r="B43" s="23" t="s">
        <v>56</v>
      </c>
      <c r="C43" s="38"/>
      <c r="D43" s="38"/>
      <c r="E43" s="84"/>
      <c r="F43" s="38"/>
      <c r="G43" s="39">
        <f t="shared" si="1"/>
        <v>0</v>
      </c>
    </row>
    <row r="44" spans="1:7" ht="16.5" customHeight="1">
      <c r="A44" s="1"/>
      <c r="B44" s="23" t="s">
        <v>57</v>
      </c>
      <c r="C44" s="38"/>
      <c r="D44" s="38"/>
      <c r="E44" s="84"/>
      <c r="F44" s="40">
        <v>1000</v>
      </c>
      <c r="G44" s="39">
        <f t="shared" si="1"/>
        <v>1000</v>
      </c>
    </row>
    <row r="45" spans="1:7" ht="16.5" customHeight="1">
      <c r="A45" s="1"/>
      <c r="B45" s="23" t="s">
        <v>58</v>
      </c>
      <c r="C45" s="38"/>
      <c r="D45" s="38"/>
      <c r="E45" s="84"/>
      <c r="F45" s="40">
        <v>500</v>
      </c>
      <c r="G45" s="39">
        <f t="shared" si="1"/>
        <v>500</v>
      </c>
    </row>
    <row r="46" spans="1:7" ht="17.25" customHeight="1">
      <c r="A46" s="1"/>
      <c r="B46" s="23" t="s">
        <v>59</v>
      </c>
      <c r="C46" s="42"/>
      <c r="D46" s="42"/>
      <c r="E46" s="86"/>
      <c r="F46" s="42"/>
      <c r="G46" s="43">
        <f t="shared" si="1"/>
        <v>0</v>
      </c>
    </row>
    <row r="47" spans="1:7" ht="17.25" customHeight="1">
      <c r="A47" s="1"/>
      <c r="B47" s="23" t="s">
        <v>60</v>
      </c>
      <c r="C47" s="42"/>
      <c r="D47" s="42"/>
      <c r="E47" s="86"/>
      <c r="F47" s="42"/>
      <c r="G47" s="43">
        <f t="shared" si="1"/>
        <v>0</v>
      </c>
    </row>
    <row r="48" spans="1:7" ht="16.5" customHeight="1">
      <c r="A48" s="1"/>
      <c r="B48" s="23" t="s">
        <v>61</v>
      </c>
      <c r="C48" s="38"/>
      <c r="D48" s="38"/>
      <c r="E48" s="84"/>
      <c r="F48" s="38"/>
      <c r="G48" s="39">
        <f t="shared" si="1"/>
        <v>0</v>
      </c>
    </row>
    <row r="49" spans="1:7" ht="16.5" customHeight="1">
      <c r="A49" s="1"/>
      <c r="B49" s="44" t="s">
        <v>62</v>
      </c>
      <c r="C49" s="38"/>
      <c r="D49" s="38"/>
      <c r="E49" s="84"/>
      <c r="F49" s="40">
        <v>1000</v>
      </c>
      <c r="G49" s="39">
        <f t="shared" si="1"/>
        <v>1000</v>
      </c>
    </row>
    <row r="50" spans="1:7" ht="16.5" customHeight="1">
      <c r="A50" s="1"/>
      <c r="B50" s="45" t="s">
        <v>63</v>
      </c>
      <c r="C50" s="38"/>
      <c r="D50" s="38"/>
      <c r="E50" s="84"/>
      <c r="F50" s="38"/>
      <c r="G50" s="39">
        <f t="shared" si="1"/>
        <v>0</v>
      </c>
    </row>
    <row r="51" spans="1:7" ht="16.5" customHeight="1">
      <c r="A51" s="1"/>
      <c r="B51" s="20" t="s">
        <v>64</v>
      </c>
      <c r="C51" s="37">
        <v>3000</v>
      </c>
      <c r="D51" s="38"/>
      <c r="E51" s="84"/>
      <c r="F51" s="40">
        <v>1000</v>
      </c>
      <c r="G51" s="39">
        <f t="shared" si="1"/>
        <v>4000</v>
      </c>
    </row>
    <row r="52" spans="1:7" ht="16.5" customHeight="1">
      <c r="A52" s="1"/>
      <c r="B52" s="20" t="s">
        <v>65</v>
      </c>
      <c r="C52" s="38"/>
      <c r="D52" s="38"/>
      <c r="E52" s="84"/>
      <c r="F52" s="38"/>
      <c r="G52" s="39">
        <f t="shared" si="1"/>
        <v>0</v>
      </c>
    </row>
    <row r="53" spans="1:7" ht="16.5" customHeight="1">
      <c r="A53" s="1"/>
      <c r="B53" s="26" t="s">
        <v>52</v>
      </c>
      <c r="C53" s="41"/>
      <c r="D53" s="41"/>
      <c r="E53" s="85"/>
      <c r="F53" s="41"/>
      <c r="G53" s="13">
        <f t="shared" si="1"/>
        <v>0</v>
      </c>
    </row>
    <row r="54" spans="1:7" ht="16.5" customHeight="1">
      <c r="A54" s="1" t="s">
        <v>66</v>
      </c>
      <c r="B54" s="23" t="s">
        <v>67</v>
      </c>
      <c r="C54" s="38"/>
      <c r="D54" s="38"/>
      <c r="E54" s="84"/>
      <c r="F54" s="38"/>
      <c r="G54" s="39">
        <f t="shared" si="1"/>
        <v>0</v>
      </c>
    </row>
    <row r="55" spans="1:7" ht="16.5" customHeight="1">
      <c r="A55" s="1"/>
      <c r="B55" s="23" t="s">
        <v>68</v>
      </c>
      <c r="C55" s="38"/>
      <c r="D55" s="38"/>
      <c r="E55" s="84"/>
      <c r="F55" s="38"/>
      <c r="G55" s="39">
        <f t="shared" si="1"/>
        <v>0</v>
      </c>
    </row>
    <row r="56" spans="1:7" ht="16.5" customHeight="1">
      <c r="A56" s="1"/>
      <c r="B56" s="23" t="s">
        <v>69</v>
      </c>
      <c r="C56" s="38"/>
      <c r="D56" s="38"/>
      <c r="E56" s="84"/>
      <c r="F56" s="38"/>
      <c r="G56" s="39">
        <f t="shared" si="1"/>
        <v>0</v>
      </c>
    </row>
    <row r="57" spans="1:7" ht="16.5" customHeight="1">
      <c r="A57" s="1"/>
      <c r="B57" s="23" t="s">
        <v>70</v>
      </c>
      <c r="C57" s="38"/>
      <c r="D57" s="38"/>
      <c r="E57" s="84"/>
      <c r="F57" s="38"/>
      <c r="G57" s="39">
        <f t="shared" si="1"/>
        <v>0</v>
      </c>
    </row>
    <row r="58" spans="1:7" ht="16.5" customHeight="1">
      <c r="A58" s="1"/>
      <c r="B58" s="23" t="s">
        <v>71</v>
      </c>
      <c r="C58" s="38"/>
      <c r="D58" s="38"/>
      <c r="E58" s="84"/>
      <c r="F58" s="38"/>
      <c r="G58" s="39">
        <f t="shared" si="1"/>
        <v>0</v>
      </c>
    </row>
    <row r="59" spans="1:7" ht="16.5" customHeight="1">
      <c r="A59" s="1"/>
      <c r="B59" s="23" t="s">
        <v>72</v>
      </c>
      <c r="C59" s="38"/>
      <c r="D59" s="38"/>
      <c r="E59" s="84"/>
      <c r="F59" s="38"/>
      <c r="G59" s="39">
        <f t="shared" si="1"/>
        <v>0</v>
      </c>
    </row>
    <row r="60" spans="1:7" ht="16.5" customHeight="1">
      <c r="A60" s="1"/>
      <c r="B60" s="23" t="s">
        <v>73</v>
      </c>
      <c r="C60" s="38"/>
      <c r="D60" s="38"/>
      <c r="E60" s="84"/>
      <c r="F60" s="38"/>
      <c r="G60" s="39">
        <f>IF(COUNT(C60:F60)=0,0,MAX(C60:F60))</f>
        <v>0</v>
      </c>
    </row>
    <row r="61" spans="1:7" ht="16.5" customHeight="1">
      <c r="A61" s="1"/>
      <c r="B61" s="23" t="s">
        <v>74</v>
      </c>
      <c r="C61" s="38"/>
      <c r="D61" s="38"/>
      <c r="E61" s="84"/>
      <c r="F61" s="38"/>
      <c r="G61" s="39">
        <f>SUM(C61:F61)</f>
        <v>0</v>
      </c>
    </row>
    <row r="62" spans="1:7" ht="16.5" customHeight="1">
      <c r="A62" s="1"/>
      <c r="B62" s="23" t="s">
        <v>75</v>
      </c>
      <c r="C62" s="38"/>
      <c r="D62" s="38"/>
      <c r="E62" s="84"/>
      <c r="F62" s="38"/>
      <c r="G62" s="39">
        <f>IF(COUNT(C62:F62)=0,0,MAX(C62:F62))</f>
        <v>0</v>
      </c>
    </row>
    <row r="63" spans="1:7" ht="16.5" customHeight="1">
      <c r="A63" s="1"/>
      <c r="B63" s="44" t="s">
        <v>76</v>
      </c>
      <c r="C63" s="38"/>
      <c r="D63" s="38"/>
      <c r="E63" s="84"/>
      <c r="F63" s="38"/>
      <c r="G63" s="39">
        <f t="shared" ref="G63:G69" si="2">SUM(C63:F63)</f>
        <v>0</v>
      </c>
    </row>
    <row r="64" spans="1:7" ht="17.25" customHeight="1">
      <c r="A64" s="1"/>
      <c r="B64" s="44" t="s">
        <v>77</v>
      </c>
      <c r="C64" s="38"/>
      <c r="D64" s="38"/>
      <c r="E64" s="84"/>
      <c r="F64" s="38"/>
      <c r="G64" s="39">
        <f t="shared" si="2"/>
        <v>0</v>
      </c>
    </row>
    <row r="65" spans="1:7" ht="17.25" customHeight="1">
      <c r="A65" s="1"/>
      <c r="B65" s="23" t="s">
        <v>78</v>
      </c>
      <c r="C65" s="38"/>
      <c r="D65" s="38"/>
      <c r="E65" s="84"/>
      <c r="F65" s="40">
        <v>10</v>
      </c>
      <c r="G65" s="39">
        <f t="shared" si="2"/>
        <v>10</v>
      </c>
    </row>
    <row r="66" spans="1:7" ht="16.5" customHeight="1">
      <c r="A66" s="1"/>
      <c r="B66" s="26" t="s">
        <v>79</v>
      </c>
      <c r="C66" s="41"/>
      <c r="D66" s="41"/>
      <c r="E66" s="85"/>
      <c r="F66" s="12">
        <v>10</v>
      </c>
      <c r="G66" s="13">
        <f t="shared" si="2"/>
        <v>10</v>
      </c>
    </row>
    <row r="67" spans="1:7" ht="16.5" customHeight="1">
      <c r="A67" s="1" t="s">
        <v>80</v>
      </c>
      <c r="B67" s="23" t="s">
        <v>81</v>
      </c>
      <c r="C67" s="38"/>
      <c r="D67" s="38"/>
      <c r="E67" s="84"/>
      <c r="F67" s="40">
        <v>50</v>
      </c>
      <c r="G67" s="39">
        <f t="shared" si="2"/>
        <v>50</v>
      </c>
    </row>
    <row r="68" spans="1:7" ht="16.5" customHeight="1">
      <c r="A68" s="1"/>
      <c r="B68" s="23" t="s">
        <v>82</v>
      </c>
      <c r="C68" s="38"/>
      <c r="D68" s="38"/>
      <c r="E68" s="84"/>
      <c r="F68" s="38"/>
      <c r="G68" s="39">
        <f t="shared" si="2"/>
        <v>0</v>
      </c>
    </row>
    <row r="69" spans="1:7" ht="16.5" customHeight="1">
      <c r="A69" s="1"/>
      <c r="B69" s="23" t="s">
        <v>83</v>
      </c>
      <c r="C69" s="38"/>
      <c r="D69" s="38"/>
      <c r="E69" s="84"/>
      <c r="F69" s="38"/>
      <c r="G69" s="39">
        <f t="shared" si="2"/>
        <v>0</v>
      </c>
    </row>
    <row r="70" spans="1:7" ht="17.25" customHeight="1">
      <c r="A70" s="1"/>
      <c r="B70" s="23" t="s">
        <v>84</v>
      </c>
      <c r="C70" s="38"/>
      <c r="D70" s="38"/>
      <c r="E70" s="84"/>
      <c r="F70" s="46" t="s">
        <v>85</v>
      </c>
      <c r="G70" s="47" t="s">
        <v>85</v>
      </c>
    </row>
    <row r="71" spans="1:7" ht="16.5" customHeight="1">
      <c r="A71" s="1"/>
      <c r="B71" s="23" t="s">
        <v>86</v>
      </c>
      <c r="C71" s="38"/>
      <c r="D71" s="38"/>
      <c r="E71" s="84"/>
      <c r="F71" s="38"/>
      <c r="G71" s="39">
        <f t="shared" ref="G71:G77" si="3">SUM(C71:F71)</f>
        <v>0</v>
      </c>
    </row>
    <row r="72" spans="1:7" ht="16.5" customHeight="1">
      <c r="A72" s="1"/>
      <c r="B72" s="23" t="s">
        <v>87</v>
      </c>
      <c r="C72" s="38"/>
      <c r="D72" s="38"/>
      <c r="E72" s="84"/>
      <c r="F72" s="40">
        <v>50</v>
      </c>
      <c r="G72" s="39">
        <f t="shared" si="3"/>
        <v>50</v>
      </c>
    </row>
    <row r="73" spans="1:7" ht="16.5" customHeight="1">
      <c r="A73" s="1"/>
      <c r="B73" s="23" t="s">
        <v>88</v>
      </c>
      <c r="C73" s="38"/>
      <c r="D73" s="38"/>
      <c r="E73" s="84"/>
      <c r="F73" s="40">
        <v>10</v>
      </c>
      <c r="G73" s="39">
        <f t="shared" si="3"/>
        <v>10</v>
      </c>
    </row>
    <row r="74" spans="1:7" ht="16.5" customHeight="1">
      <c r="A74" s="1"/>
      <c r="B74" s="44" t="s">
        <v>89</v>
      </c>
      <c r="C74" s="38"/>
      <c r="D74" s="38"/>
      <c r="E74" s="84"/>
      <c r="F74" s="38"/>
      <c r="G74" s="39">
        <f t="shared" si="3"/>
        <v>0</v>
      </c>
    </row>
    <row r="75" spans="1:7" ht="16.5" customHeight="1">
      <c r="A75" s="1"/>
      <c r="B75" s="23" t="s">
        <v>90</v>
      </c>
      <c r="C75" s="38"/>
      <c r="D75" s="38"/>
      <c r="E75" s="84"/>
      <c r="F75" s="40">
        <v>10</v>
      </c>
      <c r="G75" s="39">
        <f t="shared" si="3"/>
        <v>10</v>
      </c>
    </row>
    <row r="76" spans="1:7" ht="16.5" customHeight="1">
      <c r="A76" s="1"/>
      <c r="B76" s="48" t="s">
        <v>91</v>
      </c>
      <c r="C76" s="49"/>
      <c r="D76" s="49"/>
      <c r="E76" s="87"/>
      <c r="F76" s="50">
        <v>20</v>
      </c>
      <c r="G76" s="51">
        <f t="shared" si="3"/>
        <v>20</v>
      </c>
    </row>
    <row r="77" spans="1:7" ht="16.5" customHeight="1">
      <c r="A77" s="1"/>
      <c r="B77" s="23" t="s">
        <v>92</v>
      </c>
      <c r="C77" s="38"/>
      <c r="D77" s="38"/>
      <c r="E77" s="84"/>
      <c r="F77" s="38"/>
      <c r="G77" s="39">
        <f t="shared" si="3"/>
        <v>0</v>
      </c>
    </row>
    <row r="78" spans="1:7" ht="17.25" customHeight="1">
      <c r="A78" s="1"/>
      <c r="B78" s="23" t="s">
        <v>93</v>
      </c>
      <c r="C78" s="38"/>
      <c r="D78" s="38"/>
      <c r="E78" s="84"/>
      <c r="F78" s="46" t="s">
        <v>347</v>
      </c>
      <c r="G78" s="47" t="s">
        <v>347</v>
      </c>
    </row>
    <row r="79" spans="1:7" ht="16.5" customHeight="1">
      <c r="A79" s="1"/>
      <c r="B79" s="23" t="s">
        <v>94</v>
      </c>
      <c r="C79" s="38"/>
      <c r="D79" s="38"/>
      <c r="E79" s="84"/>
      <c r="F79" s="38"/>
      <c r="G79" s="39">
        <f t="shared" ref="G79:G90" si="4">SUM(C79:F79)</f>
        <v>0</v>
      </c>
    </row>
    <row r="80" spans="1:7" ht="16.5" customHeight="1">
      <c r="A80" s="1"/>
      <c r="B80" s="23" t="s">
        <v>95</v>
      </c>
      <c r="C80" s="37">
        <v>100</v>
      </c>
      <c r="D80" s="38"/>
      <c r="E80" s="84"/>
      <c r="F80" s="38"/>
      <c r="G80" s="39">
        <f t="shared" si="4"/>
        <v>100</v>
      </c>
    </row>
    <row r="81" spans="1:7" ht="17.25" customHeight="1">
      <c r="A81" s="1"/>
      <c r="B81" s="23" t="s">
        <v>96</v>
      </c>
      <c r="C81" s="38"/>
      <c r="D81" s="38"/>
      <c r="E81" s="84"/>
      <c r="F81" s="38"/>
      <c r="G81" s="39">
        <f t="shared" si="4"/>
        <v>0</v>
      </c>
    </row>
    <row r="82" spans="1:7" ht="17.25" customHeight="1">
      <c r="A82" s="1"/>
      <c r="B82" s="23" t="s">
        <v>97</v>
      </c>
      <c r="C82" s="37">
        <v>100</v>
      </c>
      <c r="D82" s="38"/>
      <c r="E82" s="84"/>
      <c r="F82" s="38"/>
      <c r="G82" s="39">
        <f t="shared" si="4"/>
        <v>100</v>
      </c>
    </row>
    <row r="83" spans="1:7" ht="17.25" customHeight="1">
      <c r="A83" s="1"/>
      <c r="B83" s="44" t="s">
        <v>98</v>
      </c>
      <c r="C83" s="38"/>
      <c r="D83" s="38"/>
      <c r="E83" s="84"/>
      <c r="F83" s="38"/>
      <c r="G83" s="39">
        <f t="shared" si="4"/>
        <v>0</v>
      </c>
    </row>
    <row r="84" spans="1:7" ht="16.5" customHeight="1">
      <c r="A84" s="1"/>
      <c r="B84" s="44" t="s">
        <v>99</v>
      </c>
      <c r="C84" s="38"/>
      <c r="D84" s="38"/>
      <c r="E84" s="84"/>
      <c r="F84" s="38"/>
      <c r="G84" s="39">
        <f t="shared" si="4"/>
        <v>0</v>
      </c>
    </row>
    <row r="85" spans="1:7" ht="17.25" customHeight="1">
      <c r="A85" s="1"/>
      <c r="B85" s="52" t="s">
        <v>100</v>
      </c>
      <c r="C85" s="41"/>
      <c r="D85" s="41"/>
      <c r="E85" s="85"/>
      <c r="F85" s="41"/>
      <c r="G85" s="13">
        <f t="shared" si="4"/>
        <v>0</v>
      </c>
    </row>
    <row r="86" spans="1:7" ht="16.5" customHeight="1">
      <c r="A86" s="1" t="s">
        <v>101</v>
      </c>
      <c r="B86" s="23" t="s">
        <v>102</v>
      </c>
      <c r="C86" s="38"/>
      <c r="D86" s="38"/>
      <c r="E86" s="84"/>
      <c r="F86" s="38"/>
      <c r="G86" s="39">
        <f t="shared" si="4"/>
        <v>0</v>
      </c>
    </row>
    <row r="87" spans="1:7" ht="17.25" customHeight="1">
      <c r="A87" s="1"/>
      <c r="B87" s="23" t="s">
        <v>103</v>
      </c>
      <c r="C87" s="38"/>
      <c r="D87" s="38"/>
      <c r="E87" s="84"/>
      <c r="F87" s="38"/>
      <c r="G87" s="39">
        <f t="shared" si="4"/>
        <v>0</v>
      </c>
    </row>
    <row r="88" spans="1:7" ht="16.5" customHeight="1">
      <c r="A88" s="1"/>
      <c r="B88" s="23" t="s">
        <v>104</v>
      </c>
      <c r="C88" s="38"/>
      <c r="D88" s="38"/>
      <c r="E88" s="84"/>
      <c r="F88" s="38"/>
      <c r="G88" s="39">
        <f t="shared" si="4"/>
        <v>0</v>
      </c>
    </row>
    <row r="89" spans="1:7" ht="16.5" customHeight="1">
      <c r="A89" s="1"/>
      <c r="B89" s="44" t="s">
        <v>105</v>
      </c>
      <c r="C89" s="38"/>
      <c r="D89" s="38"/>
      <c r="E89" s="84"/>
      <c r="F89" s="38"/>
      <c r="G89" s="39">
        <f t="shared" si="4"/>
        <v>0</v>
      </c>
    </row>
    <row r="90" spans="1:7" ht="17.25" customHeight="1">
      <c r="A90" s="1"/>
      <c r="B90" s="23" t="s">
        <v>106</v>
      </c>
      <c r="C90" s="38"/>
      <c r="D90" s="38"/>
      <c r="E90" s="84"/>
      <c r="F90" s="38"/>
      <c r="G90" s="39">
        <f t="shared" si="4"/>
        <v>0</v>
      </c>
    </row>
    <row r="91" spans="1:7" ht="17.25" customHeight="1">
      <c r="A91" s="1"/>
      <c r="B91" s="26" t="s">
        <v>107</v>
      </c>
      <c r="C91" s="41"/>
      <c r="D91" s="41"/>
      <c r="E91" s="85"/>
      <c r="F91" s="41"/>
      <c r="G91" s="13">
        <f>MIN(SUM(C91:F91),80)</f>
        <v>0</v>
      </c>
    </row>
    <row r="92" spans="1:7">
      <c r="A92" s="1" t="s">
        <v>108</v>
      </c>
      <c r="B92" s="23" t="s">
        <v>109</v>
      </c>
      <c r="C92" s="38"/>
      <c r="D92" s="38"/>
      <c r="E92" s="84"/>
      <c r="F92" s="40">
        <v>20</v>
      </c>
      <c r="G92" s="39">
        <f t="shared" ref="G92:G106" si="5">SUM(C92:F92)</f>
        <v>20</v>
      </c>
    </row>
    <row r="93" spans="1:7">
      <c r="A93" s="1"/>
      <c r="B93" s="23" t="s">
        <v>110</v>
      </c>
      <c r="C93" s="38"/>
      <c r="D93" s="38"/>
      <c r="E93" s="84"/>
      <c r="F93" s="40">
        <v>30</v>
      </c>
      <c r="G93" s="39">
        <f t="shared" si="5"/>
        <v>30</v>
      </c>
    </row>
    <row r="94" spans="1:7">
      <c r="A94" s="1"/>
      <c r="B94" s="52" t="s">
        <v>111</v>
      </c>
      <c r="C94" s="41"/>
      <c r="D94" s="41"/>
      <c r="E94" s="85"/>
      <c r="F94" s="12">
        <v>10</v>
      </c>
      <c r="G94" s="13">
        <f t="shared" si="5"/>
        <v>10</v>
      </c>
    </row>
    <row r="95" spans="1:7">
      <c r="A95" s="30" t="s">
        <v>112</v>
      </c>
      <c r="B95" s="26" t="s">
        <v>113</v>
      </c>
      <c r="C95" s="41"/>
      <c r="D95" s="41"/>
      <c r="E95" s="85"/>
      <c r="F95" s="41"/>
      <c r="G95" s="13">
        <f t="shared" si="5"/>
        <v>0</v>
      </c>
    </row>
    <row r="96" spans="1:7">
      <c r="A96" s="30" t="s">
        <v>114</v>
      </c>
      <c r="B96" s="26" t="s">
        <v>114</v>
      </c>
      <c r="C96" s="41"/>
      <c r="D96" s="41"/>
      <c r="E96" s="85"/>
      <c r="F96" s="41"/>
      <c r="G96" s="13">
        <f t="shared" si="5"/>
        <v>0</v>
      </c>
    </row>
    <row r="97" spans="1:7">
      <c r="A97" s="1" t="s">
        <v>115</v>
      </c>
      <c r="B97" s="23" t="s">
        <v>116</v>
      </c>
      <c r="C97" s="38"/>
      <c r="D97" s="38"/>
      <c r="E97" s="84"/>
      <c r="F97" s="40">
        <v>10</v>
      </c>
      <c r="G97" s="39">
        <f t="shared" si="5"/>
        <v>10</v>
      </c>
    </row>
    <row r="98" spans="1:7">
      <c r="A98" s="1"/>
      <c r="B98" s="26" t="s">
        <v>117</v>
      </c>
      <c r="C98" s="41"/>
      <c r="D98" s="41"/>
      <c r="E98" s="85"/>
      <c r="F98" s="12">
        <v>1000</v>
      </c>
      <c r="G98" s="13">
        <f t="shared" si="5"/>
        <v>1000</v>
      </c>
    </row>
    <row r="99" spans="1:7">
      <c r="A99" s="1" t="s">
        <v>118</v>
      </c>
      <c r="B99" s="23" t="s">
        <v>119</v>
      </c>
      <c r="C99" s="38"/>
      <c r="D99" s="38"/>
      <c r="E99" s="84"/>
      <c r="F99" s="38"/>
      <c r="G99" s="39">
        <f t="shared" si="5"/>
        <v>0</v>
      </c>
    </row>
    <row r="100" spans="1:7">
      <c r="A100" s="1"/>
      <c r="B100" s="26" t="s">
        <v>120</v>
      </c>
      <c r="C100" s="41"/>
      <c r="D100" s="41"/>
      <c r="E100" s="85"/>
      <c r="F100" s="12">
        <v>30</v>
      </c>
      <c r="G100" s="13">
        <f t="shared" si="5"/>
        <v>30</v>
      </c>
    </row>
    <row r="101" spans="1:7">
      <c r="A101" s="1" t="s">
        <v>121</v>
      </c>
      <c r="B101" s="23" t="s">
        <v>122</v>
      </c>
      <c r="C101" s="53"/>
      <c r="D101" s="53"/>
      <c r="E101" s="88"/>
      <c r="F101" s="53"/>
      <c r="G101" s="54">
        <f t="shared" si="5"/>
        <v>0</v>
      </c>
    </row>
    <row r="102" spans="1:7">
      <c r="A102" s="1"/>
      <c r="B102" s="23" t="s">
        <v>123</v>
      </c>
      <c r="C102" s="53"/>
      <c r="D102" s="53"/>
      <c r="E102" s="88"/>
      <c r="F102" s="53"/>
      <c r="G102" s="54">
        <f t="shared" si="5"/>
        <v>0</v>
      </c>
    </row>
    <row r="103" spans="1:7">
      <c r="A103" s="1"/>
      <c r="B103" s="23" t="s">
        <v>124</v>
      </c>
      <c r="C103" s="38"/>
      <c r="D103" s="38"/>
      <c r="E103" s="84"/>
      <c r="F103" s="38"/>
      <c r="G103" s="54">
        <f t="shared" si="5"/>
        <v>0</v>
      </c>
    </row>
    <row r="104" spans="1:7">
      <c r="A104" s="1"/>
      <c r="B104" s="23" t="s">
        <v>125</v>
      </c>
      <c r="C104" s="38"/>
      <c r="D104" s="38"/>
      <c r="E104" s="84"/>
      <c r="F104" s="38"/>
      <c r="G104" s="39">
        <f t="shared" si="5"/>
        <v>0</v>
      </c>
    </row>
    <row r="105" spans="1:7">
      <c r="A105" s="1"/>
      <c r="B105" s="26" t="s">
        <v>126</v>
      </c>
      <c r="C105" s="41"/>
      <c r="D105" s="41"/>
      <c r="E105" s="85"/>
      <c r="F105" s="41"/>
      <c r="G105" s="55">
        <f t="shared" si="5"/>
        <v>0</v>
      </c>
    </row>
    <row r="106" spans="1:7">
      <c r="A106" s="30" t="s">
        <v>127</v>
      </c>
      <c r="B106" s="26" t="s">
        <v>128</v>
      </c>
      <c r="C106" s="56"/>
      <c r="D106" s="57">
        <v>30000</v>
      </c>
      <c r="E106" s="89"/>
      <c r="F106" s="56"/>
      <c r="G106" s="55">
        <f t="shared" si="5"/>
        <v>30000</v>
      </c>
    </row>
  </sheetData>
  <mergeCells count="17">
    <mergeCell ref="A99:A100"/>
    <mergeCell ref="A101:A105"/>
    <mergeCell ref="A54:A66"/>
    <mergeCell ref="A67:A85"/>
    <mergeCell ref="A86:A91"/>
    <mergeCell ref="A92:A94"/>
    <mergeCell ref="A97:A98"/>
    <mergeCell ref="A6:A10"/>
    <mergeCell ref="A11:A14"/>
    <mergeCell ref="A15:A31"/>
    <mergeCell ref="A32:A40"/>
    <mergeCell ref="A41:A53"/>
    <mergeCell ref="A1:B1"/>
    <mergeCell ref="A2:B2"/>
    <mergeCell ref="A3:B3"/>
    <mergeCell ref="A4:B4"/>
    <mergeCell ref="A5:B5"/>
  </mergeCells>
  <phoneticPr fontId="36" type="noConversion"/>
  <pageMargins left="0.25" right="0.25" top="0.75" bottom="0.75" header="0.3" footer="0.3"/>
  <pageSetup paperSize="8" scale="5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ColWidth="8.5" defaultRowHeight="16.5"/>
  <cols>
    <col min="1" max="1" width="5" style="6" customWidth="1"/>
    <col min="2" max="2" width="110" style="6" customWidth="1"/>
  </cols>
  <sheetData>
    <row r="1" spans="1:2" ht="19.5" customHeight="1">
      <c r="A1" s="58" t="s">
        <v>129</v>
      </c>
    </row>
    <row r="3" spans="1:2" ht="16.5" customHeight="1">
      <c r="A3" t="s">
        <v>130</v>
      </c>
      <c r="B3" s="59" t="s">
        <v>131</v>
      </c>
    </row>
    <row r="4" spans="1:2" ht="16.5" customHeight="1">
      <c r="A4" t="s">
        <v>132</v>
      </c>
      <c r="B4" s="59" t="s">
        <v>133</v>
      </c>
    </row>
    <row r="5" spans="1:2" ht="16.5" customHeight="1">
      <c r="A5" t="s">
        <v>134</v>
      </c>
      <c r="B5" s="59" t="s">
        <v>135</v>
      </c>
    </row>
    <row r="6" spans="1:2" ht="16.5" customHeight="1">
      <c r="A6" t="s">
        <v>136</v>
      </c>
      <c r="B6" s="59" t="s">
        <v>137</v>
      </c>
    </row>
    <row r="7" spans="1:2" ht="16.5" customHeight="1">
      <c r="A7" t="s">
        <v>138</v>
      </c>
      <c r="B7" s="59" t="s">
        <v>139</v>
      </c>
    </row>
    <row r="8" spans="1:2" ht="16.5" customHeight="1">
      <c r="A8" t="s">
        <v>140</v>
      </c>
      <c r="B8" s="60" t="s">
        <v>141</v>
      </c>
    </row>
    <row r="9" spans="1:2" ht="16.5" customHeight="1">
      <c r="A9" t="s">
        <v>142</v>
      </c>
      <c r="B9" s="59" t="s">
        <v>143</v>
      </c>
    </row>
    <row r="10" spans="1:2" ht="16.5" customHeight="1">
      <c r="A10" t="s">
        <v>144</v>
      </c>
      <c r="B10" s="59" t="s">
        <v>145</v>
      </c>
    </row>
    <row r="11" spans="1:2" ht="16.5" customHeight="1">
      <c r="A11" t="s">
        <v>146</v>
      </c>
      <c r="B11" s="59" t="s">
        <v>147</v>
      </c>
    </row>
    <row r="12" spans="1:2" ht="16.5" customHeight="1">
      <c r="A12" t="s">
        <v>148</v>
      </c>
      <c r="B12" s="60" t="s">
        <v>149</v>
      </c>
    </row>
    <row r="13" spans="1:2" ht="16.5" customHeight="1">
      <c r="A13" t="s">
        <v>150</v>
      </c>
      <c r="B13" s="59" t="s">
        <v>151</v>
      </c>
    </row>
    <row r="14" spans="1:2" ht="16.5" customHeight="1">
      <c r="A14" t="s">
        <v>152</v>
      </c>
      <c r="B14" s="59" t="s">
        <v>153</v>
      </c>
    </row>
  </sheetData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3"/>
  <sheetViews>
    <sheetView zoomScaleNormal="100" workbookViewId="0"/>
  </sheetViews>
  <sheetFormatPr defaultColWidth="8.5" defaultRowHeight="16.5"/>
  <cols>
    <col min="2" max="2" width="34" style="6" customWidth="1"/>
    <col min="4" max="4" width="40" style="6" customWidth="1"/>
    <col min="5" max="6" width="12" style="6" customWidth="1"/>
    <col min="7" max="7" width="46" style="6" customWidth="1"/>
  </cols>
  <sheetData>
    <row r="1" spans="1:7">
      <c r="A1" s="61" t="s">
        <v>154</v>
      </c>
    </row>
    <row r="3" spans="1:7">
      <c r="A3" s="61" t="s">
        <v>155</v>
      </c>
      <c r="B3" s="6">
        <v>3</v>
      </c>
      <c r="D3" s="6" t="s">
        <v>156</v>
      </c>
    </row>
    <row r="4" spans="1:7">
      <c r="A4" s="61" t="s">
        <v>157</v>
      </c>
      <c r="B4" s="6" t="s">
        <v>158</v>
      </c>
    </row>
    <row r="5" spans="1:7">
      <c r="A5" s="62" t="s">
        <v>159</v>
      </c>
    </row>
    <row r="6" spans="1:7">
      <c r="A6" s="63" t="s">
        <v>160</v>
      </c>
    </row>
    <row r="7" spans="1:7">
      <c r="A7" s="61" t="s">
        <v>161</v>
      </c>
      <c r="B7" s="64" t="s">
        <v>162</v>
      </c>
      <c r="C7" s="61" t="s">
        <v>163</v>
      </c>
      <c r="D7" s="64" t="s">
        <v>164</v>
      </c>
      <c r="E7" s="64" t="s">
        <v>165</v>
      </c>
      <c r="F7" s="64" t="s">
        <v>166</v>
      </c>
      <c r="G7" s="64" t="s">
        <v>167</v>
      </c>
    </row>
    <row r="8" spans="1:7">
      <c r="A8" t="s">
        <v>168</v>
      </c>
      <c r="B8" s="6" t="s">
        <v>169</v>
      </c>
      <c r="C8">
        <v>1000</v>
      </c>
      <c r="D8" s="64" t="s">
        <v>170</v>
      </c>
      <c r="E8" s="6" t="s">
        <v>171</v>
      </c>
      <c r="F8" s="65" t="s">
        <v>172</v>
      </c>
      <c r="G8" s="64" t="s">
        <v>173</v>
      </c>
    </row>
    <row r="9" spans="1:7">
      <c r="A9" t="s">
        <v>168</v>
      </c>
      <c r="B9" s="6" t="s">
        <v>174</v>
      </c>
      <c r="C9">
        <v>1000</v>
      </c>
      <c r="D9" s="64" t="s">
        <v>170</v>
      </c>
      <c r="E9" s="6" t="s">
        <v>171</v>
      </c>
      <c r="F9" s="65" t="s">
        <v>172</v>
      </c>
      <c r="G9" s="64" t="s">
        <v>173</v>
      </c>
    </row>
    <row r="10" spans="1:7">
      <c r="A10" t="s">
        <v>168</v>
      </c>
      <c r="B10" s="6" t="s">
        <v>175</v>
      </c>
      <c r="C10">
        <v>1000</v>
      </c>
      <c r="D10" s="64" t="s">
        <v>170</v>
      </c>
      <c r="E10" s="6" t="s">
        <v>171</v>
      </c>
      <c r="F10" s="65" t="s">
        <v>172</v>
      </c>
      <c r="G10" s="64" t="s">
        <v>173</v>
      </c>
    </row>
    <row r="11" spans="1:7">
      <c r="A11" t="s">
        <v>168</v>
      </c>
      <c r="B11" s="6" t="s">
        <v>176</v>
      </c>
      <c r="C11">
        <v>600</v>
      </c>
      <c r="D11" s="64" t="s">
        <v>170</v>
      </c>
      <c r="E11" s="6" t="s">
        <v>177</v>
      </c>
      <c r="F11" s="65" t="s">
        <v>172</v>
      </c>
      <c r="G11" s="64" t="s">
        <v>173</v>
      </c>
    </row>
    <row r="12" spans="1:7">
      <c r="A12" t="s">
        <v>168</v>
      </c>
      <c r="B12" s="6" t="s">
        <v>178</v>
      </c>
      <c r="C12">
        <v>600</v>
      </c>
      <c r="D12" s="64" t="s">
        <v>170</v>
      </c>
      <c r="E12" s="6" t="s">
        <v>177</v>
      </c>
      <c r="F12" s="65" t="s">
        <v>172</v>
      </c>
      <c r="G12" s="64" t="s">
        <v>173</v>
      </c>
    </row>
    <row r="13" spans="1:7">
      <c r="A13" t="s">
        <v>168</v>
      </c>
      <c r="B13" s="6" t="s">
        <v>179</v>
      </c>
      <c r="C13">
        <v>400</v>
      </c>
      <c r="D13" s="64" t="s">
        <v>170</v>
      </c>
      <c r="E13" s="6" t="s">
        <v>177</v>
      </c>
      <c r="F13" s="65" t="s">
        <v>172</v>
      </c>
      <c r="G13" s="64" t="s">
        <v>173</v>
      </c>
    </row>
    <row r="14" spans="1:7">
      <c r="A14" t="s">
        <v>168</v>
      </c>
      <c r="B14" s="64" t="s">
        <v>180</v>
      </c>
      <c r="C14">
        <v>300</v>
      </c>
      <c r="E14" s="6" t="s">
        <v>181</v>
      </c>
      <c r="F14" s="65" t="s">
        <v>172</v>
      </c>
      <c r="G14" s="64" t="s">
        <v>182</v>
      </c>
    </row>
    <row r="15" spans="1:7">
      <c r="A15" s="61" t="s">
        <v>183</v>
      </c>
      <c r="B15" s="64" t="s">
        <v>184</v>
      </c>
      <c r="C15">
        <v>100</v>
      </c>
      <c r="E15" s="6" t="s">
        <v>185</v>
      </c>
      <c r="F15" s="65" t="s">
        <v>172</v>
      </c>
      <c r="G15" s="64" t="s">
        <v>186</v>
      </c>
    </row>
    <row r="16" spans="1:7">
      <c r="A16" s="61" t="s">
        <v>183</v>
      </c>
      <c r="B16" s="64" t="s">
        <v>187</v>
      </c>
      <c r="C16">
        <v>5</v>
      </c>
      <c r="E16" s="6" t="s">
        <v>188</v>
      </c>
      <c r="F16" s="65" t="s">
        <v>172</v>
      </c>
      <c r="G16" s="64" t="s">
        <v>186</v>
      </c>
    </row>
    <row r="17" spans="1:7">
      <c r="A17" t="s">
        <v>168</v>
      </c>
      <c r="B17" s="64" t="s">
        <v>189</v>
      </c>
      <c r="C17">
        <v>100</v>
      </c>
      <c r="E17" s="6" t="s">
        <v>190</v>
      </c>
      <c r="F17" s="64" t="s">
        <v>191</v>
      </c>
      <c r="G17" s="64" t="s">
        <v>192</v>
      </c>
    </row>
    <row r="18" spans="1:7">
      <c r="A18" t="s">
        <v>168</v>
      </c>
      <c r="B18" s="64" t="s">
        <v>193</v>
      </c>
      <c r="C18">
        <v>10</v>
      </c>
      <c r="E18" s="6" t="s">
        <v>194</v>
      </c>
      <c r="F18" s="64" t="s">
        <v>191</v>
      </c>
      <c r="G18" s="64" t="s">
        <v>195</v>
      </c>
    </row>
    <row r="19" spans="1:7">
      <c r="A19" t="s">
        <v>168</v>
      </c>
      <c r="B19" s="64" t="s">
        <v>196</v>
      </c>
      <c r="C19">
        <v>7</v>
      </c>
      <c r="E19" s="6" t="s">
        <v>197</v>
      </c>
      <c r="F19" s="64" t="s">
        <v>191</v>
      </c>
      <c r="G19" s="64" t="s">
        <v>195</v>
      </c>
    </row>
    <row r="20" spans="1:7">
      <c r="A20" t="s">
        <v>198</v>
      </c>
      <c r="B20" s="64" t="s">
        <v>199</v>
      </c>
      <c r="C20">
        <v>2000</v>
      </c>
      <c r="E20" s="6" t="s">
        <v>200</v>
      </c>
      <c r="F20" s="64" t="s">
        <v>201</v>
      </c>
      <c r="G20" s="64" t="s">
        <v>202</v>
      </c>
    </row>
    <row r="21" spans="1:7">
      <c r="A21" t="s">
        <v>198</v>
      </c>
      <c r="B21" s="64" t="s">
        <v>203</v>
      </c>
      <c r="C21">
        <v>2000</v>
      </c>
      <c r="E21" s="6" t="s">
        <v>204</v>
      </c>
      <c r="F21" s="64" t="s">
        <v>201</v>
      </c>
      <c r="G21" s="64" t="s">
        <v>202</v>
      </c>
    </row>
    <row r="22" spans="1:7">
      <c r="A22" t="s">
        <v>198</v>
      </c>
      <c r="B22" s="64" t="s">
        <v>205</v>
      </c>
      <c r="C22">
        <v>700</v>
      </c>
      <c r="E22" s="6" t="s">
        <v>206</v>
      </c>
      <c r="F22" s="64" t="s">
        <v>201</v>
      </c>
      <c r="G22" s="64" t="s">
        <v>202</v>
      </c>
    </row>
    <row r="23" spans="1:7">
      <c r="A23" t="s">
        <v>168</v>
      </c>
      <c r="B23" s="6" t="s">
        <v>207</v>
      </c>
      <c r="C23">
        <v>500</v>
      </c>
      <c r="E23" s="6" t="s">
        <v>208</v>
      </c>
      <c r="F23" s="64" t="s">
        <v>201</v>
      </c>
      <c r="G23" s="64" t="s">
        <v>202</v>
      </c>
    </row>
    <row r="24" spans="1:7">
      <c r="A24" s="61" t="s">
        <v>183</v>
      </c>
      <c r="B24" s="64" t="s">
        <v>209</v>
      </c>
      <c r="C24">
        <v>100</v>
      </c>
      <c r="E24" s="6" t="s">
        <v>210</v>
      </c>
      <c r="F24" s="64" t="s">
        <v>201</v>
      </c>
      <c r="G24" s="64" t="s">
        <v>202</v>
      </c>
    </row>
    <row r="25" spans="1:7">
      <c r="A25" t="s">
        <v>168</v>
      </c>
      <c r="B25" s="64" t="s">
        <v>211</v>
      </c>
      <c r="C25">
        <v>100</v>
      </c>
      <c r="E25" s="6" t="s">
        <v>212</v>
      </c>
      <c r="F25" s="64" t="s">
        <v>201</v>
      </c>
      <c r="G25" s="64" t="s">
        <v>202</v>
      </c>
    </row>
    <row r="26" spans="1:7">
      <c r="A26" s="61" t="s">
        <v>183</v>
      </c>
      <c r="B26" s="64" t="s">
        <v>213</v>
      </c>
      <c r="C26">
        <v>25</v>
      </c>
      <c r="E26" s="6" t="s">
        <v>214</v>
      </c>
      <c r="F26" s="64" t="s">
        <v>201</v>
      </c>
      <c r="G26" s="64" t="s">
        <v>202</v>
      </c>
    </row>
    <row r="27" spans="1:7">
      <c r="A27" t="s">
        <v>168</v>
      </c>
      <c r="B27" s="64" t="s">
        <v>215</v>
      </c>
      <c r="C27">
        <v>10</v>
      </c>
      <c r="E27" s="6" t="s">
        <v>216</v>
      </c>
      <c r="F27" s="64" t="s">
        <v>201</v>
      </c>
      <c r="G27" s="64" t="s">
        <v>202</v>
      </c>
    </row>
    <row r="28" spans="1:7">
      <c r="A28" s="61" t="s">
        <v>183</v>
      </c>
      <c r="B28" s="64" t="s">
        <v>217</v>
      </c>
      <c r="C28">
        <v>5</v>
      </c>
      <c r="E28" s="6" t="s">
        <v>218</v>
      </c>
      <c r="F28" s="64" t="s">
        <v>201</v>
      </c>
      <c r="G28" s="64" t="s">
        <v>202</v>
      </c>
    </row>
    <row r="29" spans="1:7">
      <c r="A29" s="61" t="s">
        <v>183</v>
      </c>
      <c r="B29" s="64" t="s">
        <v>219</v>
      </c>
      <c r="C29">
        <v>1</v>
      </c>
      <c r="E29" s="6" t="s">
        <v>220</v>
      </c>
      <c r="F29" s="64" t="s">
        <v>201</v>
      </c>
      <c r="G29" s="64" t="s">
        <v>202</v>
      </c>
    </row>
    <row r="33" spans="1:4">
      <c r="A33" t="s">
        <v>221</v>
      </c>
    </row>
    <row r="34" spans="1:4">
      <c r="A34" s="61" t="s">
        <v>161</v>
      </c>
      <c r="B34" s="64" t="s">
        <v>222</v>
      </c>
      <c r="C34" s="61" t="s">
        <v>223</v>
      </c>
      <c r="D34" s="64" t="s">
        <v>163</v>
      </c>
    </row>
    <row r="35" spans="1:4">
      <c r="A35" s="61" t="s">
        <v>183</v>
      </c>
      <c r="B35" s="64" t="s">
        <v>224</v>
      </c>
      <c r="C35" s="61" t="s">
        <v>64</v>
      </c>
      <c r="D35" s="6">
        <v>3000</v>
      </c>
    </row>
    <row r="36" spans="1:4">
      <c r="A36" t="s">
        <v>168</v>
      </c>
      <c r="B36" s="64" t="s">
        <v>225</v>
      </c>
      <c r="C36" s="61" t="s">
        <v>64</v>
      </c>
      <c r="D36" s="6">
        <v>1000</v>
      </c>
    </row>
    <row r="37" spans="1:4">
      <c r="A37" t="s">
        <v>168</v>
      </c>
      <c r="B37" s="64" t="s">
        <v>226</v>
      </c>
      <c r="C37" t="s">
        <v>227</v>
      </c>
      <c r="D37" s="6">
        <v>1000</v>
      </c>
    </row>
    <row r="38" spans="1:4">
      <c r="A38" t="s">
        <v>168</v>
      </c>
      <c r="B38" s="64" t="s">
        <v>226</v>
      </c>
      <c r="C38" t="s">
        <v>227</v>
      </c>
      <c r="D38" s="6">
        <v>1000</v>
      </c>
    </row>
    <row r="39" spans="1:4">
      <c r="A39" t="s">
        <v>168</v>
      </c>
      <c r="B39" s="64" t="s">
        <v>228</v>
      </c>
      <c r="C39" t="s">
        <v>227</v>
      </c>
      <c r="D39" s="6">
        <v>500</v>
      </c>
    </row>
    <row r="40" spans="1:4">
      <c r="A40" t="s">
        <v>168</v>
      </c>
      <c r="B40" s="64" t="s">
        <v>228</v>
      </c>
      <c r="C40" t="s">
        <v>227</v>
      </c>
      <c r="D40" s="6">
        <v>500</v>
      </c>
    </row>
    <row r="41" spans="1:4">
      <c r="A41" t="s">
        <v>168</v>
      </c>
      <c r="B41" s="64" t="s">
        <v>229</v>
      </c>
      <c r="C41" t="s">
        <v>227</v>
      </c>
      <c r="D41" s="6">
        <v>1000</v>
      </c>
    </row>
    <row r="42" spans="1:4">
      <c r="A42" t="s">
        <v>168</v>
      </c>
      <c r="B42" s="64" t="s">
        <v>229</v>
      </c>
      <c r="C42" t="s">
        <v>227</v>
      </c>
      <c r="D42" s="6">
        <v>1000</v>
      </c>
    </row>
    <row r="43" spans="1:4">
      <c r="A43" t="s">
        <v>168</v>
      </c>
      <c r="B43" s="64" t="s">
        <v>230</v>
      </c>
      <c r="C43" t="s">
        <v>227</v>
      </c>
      <c r="D43" s="6">
        <v>1000</v>
      </c>
    </row>
    <row r="44" spans="1:4">
      <c r="A44" t="s">
        <v>168</v>
      </c>
      <c r="B44" s="64" t="s">
        <v>230</v>
      </c>
      <c r="C44" t="s">
        <v>227</v>
      </c>
      <c r="D44" s="6">
        <v>1000</v>
      </c>
    </row>
    <row r="45" spans="1:4">
      <c r="A45" t="s">
        <v>168</v>
      </c>
      <c r="B45" s="64" t="s">
        <v>231</v>
      </c>
      <c r="C45" s="61" t="s">
        <v>54</v>
      </c>
      <c r="D45" s="6">
        <v>1000</v>
      </c>
    </row>
    <row r="46" spans="1:4">
      <c r="A46" t="s">
        <v>168</v>
      </c>
      <c r="B46" s="64" t="s">
        <v>232</v>
      </c>
      <c r="C46" s="61" t="s">
        <v>57</v>
      </c>
      <c r="D46" s="6">
        <v>1000</v>
      </c>
    </row>
    <row r="47" spans="1:4">
      <c r="A47" t="s">
        <v>168</v>
      </c>
      <c r="B47" s="64" t="s">
        <v>233</v>
      </c>
      <c r="C47" s="61" t="s">
        <v>55</v>
      </c>
      <c r="D47" s="6">
        <v>500</v>
      </c>
    </row>
    <row r="48" spans="1:4">
      <c r="A48" t="s">
        <v>168</v>
      </c>
      <c r="B48" s="64" t="s">
        <v>234</v>
      </c>
      <c r="C48" s="61" t="s">
        <v>58</v>
      </c>
      <c r="D48" s="6">
        <v>500</v>
      </c>
    </row>
    <row r="50" spans="1:4">
      <c r="A50" t="s">
        <v>235</v>
      </c>
    </row>
    <row r="51" spans="1:4">
      <c r="A51" s="61" t="s">
        <v>161</v>
      </c>
      <c r="B51" s="64" t="s">
        <v>222</v>
      </c>
      <c r="C51" s="61" t="s">
        <v>236</v>
      </c>
      <c r="D51" s="64" t="s">
        <v>163</v>
      </c>
    </row>
    <row r="52" spans="1:4">
      <c r="A52" s="61" t="s">
        <v>183</v>
      </c>
      <c r="B52" s="64" t="s">
        <v>40</v>
      </c>
      <c r="C52" s="61" t="s">
        <v>40</v>
      </c>
      <c r="D52" s="6">
        <v>100</v>
      </c>
    </row>
    <row r="53" spans="1:4">
      <c r="A53" s="61" t="s">
        <v>183</v>
      </c>
      <c r="B53" s="64" t="s">
        <v>237</v>
      </c>
      <c r="C53" s="61" t="s">
        <v>40</v>
      </c>
      <c r="D53" s="6">
        <v>25</v>
      </c>
    </row>
    <row r="54" spans="1:4">
      <c r="A54" s="61" t="s">
        <v>183</v>
      </c>
      <c r="B54" s="64" t="s">
        <v>238</v>
      </c>
      <c r="C54" s="61" t="s">
        <v>40</v>
      </c>
      <c r="D54" s="6">
        <v>25</v>
      </c>
    </row>
    <row r="55" spans="1:4">
      <c r="A55" s="61" t="s">
        <v>183</v>
      </c>
      <c r="B55" s="64" t="s">
        <v>239</v>
      </c>
      <c r="C55" s="61" t="s">
        <v>40</v>
      </c>
      <c r="D55" s="6">
        <v>25</v>
      </c>
    </row>
    <row r="56" spans="1:4">
      <c r="A56" t="s">
        <v>168</v>
      </c>
      <c r="B56" s="64" t="s">
        <v>240</v>
      </c>
      <c r="C56" s="61" t="s">
        <v>81</v>
      </c>
      <c r="D56" s="6">
        <v>50</v>
      </c>
    </row>
    <row r="57" spans="1:4">
      <c r="A57" t="s">
        <v>168</v>
      </c>
      <c r="B57" s="64" t="s">
        <v>241</v>
      </c>
      <c r="C57" s="61" t="s">
        <v>242</v>
      </c>
      <c r="D57" s="6">
        <v>20</v>
      </c>
    </row>
    <row r="58" spans="1:4">
      <c r="A58" t="s">
        <v>168</v>
      </c>
      <c r="B58" s="64" t="s">
        <v>243</v>
      </c>
      <c r="C58" s="61" t="s">
        <v>244</v>
      </c>
      <c r="D58" s="6">
        <v>50</v>
      </c>
    </row>
    <row r="59" spans="1:4">
      <c r="A59" t="s">
        <v>168</v>
      </c>
      <c r="B59" s="64" t="s">
        <v>245</v>
      </c>
      <c r="C59" s="61" t="s">
        <v>246</v>
      </c>
      <c r="D59" s="6">
        <v>100</v>
      </c>
    </row>
    <row r="60" spans="1:4">
      <c r="A60" t="s">
        <v>168</v>
      </c>
      <c r="B60" s="64" t="s">
        <v>247</v>
      </c>
      <c r="C60" s="61" t="s">
        <v>248</v>
      </c>
      <c r="D60" s="6">
        <v>500</v>
      </c>
    </row>
    <row r="61" spans="1:4">
      <c r="A61" t="s">
        <v>168</v>
      </c>
      <c r="B61" s="64" t="s">
        <v>249</v>
      </c>
      <c r="C61" s="61" t="s">
        <v>250</v>
      </c>
      <c r="D61" s="6">
        <v>1000</v>
      </c>
    </row>
    <row r="62" spans="1:4">
      <c r="A62" t="s">
        <v>168</v>
      </c>
      <c r="B62" s="64" t="s">
        <v>251</v>
      </c>
      <c r="C62" s="61" t="s">
        <v>88</v>
      </c>
      <c r="D62" s="6">
        <v>10</v>
      </c>
    </row>
    <row r="63" spans="1:4">
      <c r="A63" t="s">
        <v>168</v>
      </c>
      <c r="B63" s="64" t="s">
        <v>252</v>
      </c>
      <c r="C63" s="61" t="s">
        <v>90</v>
      </c>
      <c r="D63" s="6">
        <v>10</v>
      </c>
    </row>
    <row r="64" spans="1:4">
      <c r="A64" t="s">
        <v>168</v>
      </c>
      <c r="B64" s="64" t="s">
        <v>253</v>
      </c>
      <c r="C64" s="61" t="s">
        <v>87</v>
      </c>
      <c r="D64" s="6">
        <v>50</v>
      </c>
    </row>
    <row r="65" spans="1:4">
      <c r="A65" t="s">
        <v>168</v>
      </c>
      <c r="B65" s="64" t="s">
        <v>254</v>
      </c>
      <c r="C65" s="61" t="s">
        <v>87</v>
      </c>
      <c r="D65" s="6">
        <v>50</v>
      </c>
    </row>
    <row r="66" spans="1:4">
      <c r="A66" t="s">
        <v>168</v>
      </c>
      <c r="B66" s="64" t="s">
        <v>255</v>
      </c>
      <c r="C66" s="61" t="s">
        <v>40</v>
      </c>
      <c r="D66" s="6">
        <v>1000</v>
      </c>
    </row>
    <row r="67" spans="1:4">
      <c r="A67" t="s">
        <v>168</v>
      </c>
      <c r="B67" s="64" t="s">
        <v>256</v>
      </c>
      <c r="C67" s="61" t="s">
        <v>91</v>
      </c>
      <c r="D67" s="6">
        <v>20</v>
      </c>
    </row>
    <row r="68" spans="1:4">
      <c r="A68" t="s">
        <v>168</v>
      </c>
      <c r="B68" s="64" t="s">
        <v>257</v>
      </c>
      <c r="C68" s="61" t="s">
        <v>258</v>
      </c>
      <c r="D68" s="6">
        <v>1000</v>
      </c>
    </row>
    <row r="70" spans="1:4">
      <c r="A70" t="s">
        <v>259</v>
      </c>
    </row>
    <row r="71" spans="1:4">
      <c r="A71" s="61" t="s">
        <v>161</v>
      </c>
      <c r="B71" s="64" t="s">
        <v>222</v>
      </c>
      <c r="C71" s="61" t="s">
        <v>223</v>
      </c>
      <c r="D71" s="64" t="s">
        <v>163</v>
      </c>
    </row>
    <row r="72" spans="1:4">
      <c r="A72" s="61" t="s">
        <v>183</v>
      </c>
      <c r="B72" s="64" t="s">
        <v>260</v>
      </c>
      <c r="C72" s="61" t="s">
        <v>28</v>
      </c>
      <c r="D72" s="6">
        <v>3000</v>
      </c>
    </row>
    <row r="73" spans="1:4">
      <c r="A73" s="61" t="s">
        <v>183</v>
      </c>
      <c r="B73" s="64" t="s">
        <v>40</v>
      </c>
      <c r="C73" s="61" t="s">
        <v>40</v>
      </c>
      <c r="D73" s="6">
        <v>100</v>
      </c>
    </row>
    <row r="74" spans="1:4">
      <c r="A74" s="61" t="s">
        <v>183</v>
      </c>
      <c r="B74" s="64" t="s">
        <v>237</v>
      </c>
      <c r="C74" s="61" t="s">
        <v>40</v>
      </c>
      <c r="D74" s="6">
        <v>25</v>
      </c>
    </row>
    <row r="75" spans="1:4">
      <c r="A75" s="61" t="s">
        <v>183</v>
      </c>
      <c r="B75" s="64" t="s">
        <v>238</v>
      </c>
      <c r="C75" s="61" t="s">
        <v>40</v>
      </c>
      <c r="D75" s="6">
        <v>25</v>
      </c>
    </row>
    <row r="76" spans="1:4">
      <c r="A76" s="61" t="s">
        <v>183</v>
      </c>
      <c r="B76" s="64" t="s">
        <v>239</v>
      </c>
      <c r="C76" s="61" t="s">
        <v>40</v>
      </c>
      <c r="D76" s="6">
        <v>25</v>
      </c>
    </row>
    <row r="77" spans="1:4">
      <c r="A77" s="61" t="s">
        <v>183</v>
      </c>
      <c r="B77" s="64" t="s">
        <v>261</v>
      </c>
      <c r="C77" s="61" t="s">
        <v>41</v>
      </c>
      <c r="D77" s="6">
        <v>1</v>
      </c>
    </row>
    <row r="78" spans="1:4">
      <c r="A78" s="61" t="s">
        <v>183</v>
      </c>
      <c r="B78" s="64" t="s">
        <v>262</v>
      </c>
      <c r="C78" s="61" t="s">
        <v>41</v>
      </c>
      <c r="D78" s="6">
        <v>1</v>
      </c>
    </row>
    <row r="79" spans="1:4">
      <c r="A79" s="61" t="s">
        <v>183</v>
      </c>
      <c r="B79" s="64" t="s">
        <v>263</v>
      </c>
      <c r="C79" s="61" t="s">
        <v>41</v>
      </c>
      <c r="D79" s="6">
        <v>5</v>
      </c>
    </row>
    <row r="80" spans="1:4">
      <c r="A80" s="61" t="s">
        <v>183</v>
      </c>
      <c r="B80" s="64" t="s">
        <v>264</v>
      </c>
      <c r="C80" s="61" t="s">
        <v>41</v>
      </c>
      <c r="D80" s="6">
        <v>1</v>
      </c>
    </row>
    <row r="81" spans="1:4">
      <c r="A81" t="s">
        <v>168</v>
      </c>
      <c r="B81" s="64" t="s">
        <v>265</v>
      </c>
      <c r="C81" s="61" t="s">
        <v>28</v>
      </c>
      <c r="D81" s="6">
        <v>1000</v>
      </c>
    </row>
    <row r="82" spans="1:4">
      <c r="A82" t="s">
        <v>168</v>
      </c>
      <c r="B82" s="64" t="s">
        <v>266</v>
      </c>
      <c r="C82" s="61" t="s">
        <v>267</v>
      </c>
      <c r="D82" s="6">
        <v>200</v>
      </c>
    </row>
    <row r="83" spans="1:4">
      <c r="A83" t="s">
        <v>168</v>
      </c>
      <c r="B83" s="64" t="s">
        <v>255</v>
      </c>
      <c r="C83" s="61" t="s">
        <v>40</v>
      </c>
      <c r="D83" s="6">
        <v>1000</v>
      </c>
    </row>
    <row r="84" spans="1:4">
      <c r="A84" t="s">
        <v>168</v>
      </c>
      <c r="B84" s="64" t="s">
        <v>268</v>
      </c>
      <c r="C84" s="61" t="s">
        <v>32</v>
      </c>
      <c r="D84" s="6">
        <v>1000</v>
      </c>
    </row>
    <row r="85" spans="1:4">
      <c r="A85" t="s">
        <v>168</v>
      </c>
      <c r="B85" s="64" t="s">
        <v>269</v>
      </c>
      <c r="C85" s="61" t="s">
        <v>32</v>
      </c>
      <c r="D85" s="6">
        <v>1000</v>
      </c>
    </row>
    <row r="86" spans="1:4">
      <c r="A86" t="s">
        <v>168</v>
      </c>
      <c r="B86" s="64" t="s">
        <v>270</v>
      </c>
      <c r="C86" s="61" t="s">
        <v>32</v>
      </c>
      <c r="D86" s="6">
        <v>1000</v>
      </c>
    </row>
    <row r="88" spans="1:4" ht="17.25">
      <c r="A88" s="66" t="s">
        <v>271</v>
      </c>
    </row>
    <row r="89" spans="1:4">
      <c r="A89" s="61" t="s">
        <v>272</v>
      </c>
      <c r="B89" s="64" t="s">
        <v>273</v>
      </c>
      <c r="C89" s="61" t="s">
        <v>274</v>
      </c>
      <c r="D89" s="64" t="s">
        <v>275</v>
      </c>
    </row>
    <row r="90" spans="1:4">
      <c r="A90" s="61" t="s">
        <v>276</v>
      </c>
    </row>
    <row r="93" spans="1:4">
      <c r="A93" s="67" t="s">
        <v>277</v>
      </c>
    </row>
    <row r="94" spans="1:4">
      <c r="A94" s="68" t="s">
        <v>161</v>
      </c>
      <c r="B94" s="68" t="s">
        <v>278</v>
      </c>
      <c r="C94" s="68" t="s">
        <v>279</v>
      </c>
      <c r="D94" s="68" t="s">
        <v>280</v>
      </c>
    </row>
    <row r="95" spans="1:4">
      <c r="A95" s="61" t="s">
        <v>183</v>
      </c>
      <c r="B95" s="64" t="s">
        <v>28</v>
      </c>
      <c r="C95">
        <v>3000</v>
      </c>
      <c r="D95" s="64" t="s">
        <v>281</v>
      </c>
    </row>
    <row r="96" spans="1:4">
      <c r="A96" s="61" t="s">
        <v>183</v>
      </c>
      <c r="B96" s="64" t="s">
        <v>40</v>
      </c>
      <c r="C96">
        <v>100</v>
      </c>
      <c r="D96" s="64" t="s">
        <v>281</v>
      </c>
    </row>
    <row r="97" spans="1:4">
      <c r="A97" s="61" t="s">
        <v>183</v>
      </c>
      <c r="B97" s="64" t="s">
        <v>95</v>
      </c>
      <c r="C97">
        <v>100</v>
      </c>
      <c r="D97" s="64" t="s">
        <v>281</v>
      </c>
    </row>
    <row r="98" spans="1:4">
      <c r="A98" s="61" t="s">
        <v>183</v>
      </c>
      <c r="B98" s="64" t="s">
        <v>97</v>
      </c>
      <c r="C98">
        <v>100</v>
      </c>
      <c r="D98" s="64" t="s">
        <v>281</v>
      </c>
    </row>
    <row r="99" spans="1:4">
      <c r="A99" s="61" t="s">
        <v>183</v>
      </c>
      <c r="B99" s="64" t="s">
        <v>64</v>
      </c>
      <c r="C99">
        <v>3000</v>
      </c>
      <c r="D99" s="64" t="s">
        <v>281</v>
      </c>
    </row>
    <row r="102" spans="1:4">
      <c r="A102" s="69" t="s">
        <v>282</v>
      </c>
    </row>
    <row r="103" spans="1:4">
      <c r="A103" s="70" t="s">
        <v>283</v>
      </c>
      <c r="B103" s="71" t="s">
        <v>284</v>
      </c>
      <c r="C103" s="71" t="s">
        <v>285</v>
      </c>
      <c r="D103" s="71" t="s">
        <v>286</v>
      </c>
    </row>
    <row r="104" spans="1:4" ht="49.5">
      <c r="A104">
        <v>1</v>
      </c>
      <c r="B104" s="72" t="s">
        <v>287</v>
      </c>
      <c r="C104" s="61" t="s">
        <v>288</v>
      </c>
      <c r="D104" s="64" t="s">
        <v>289</v>
      </c>
    </row>
    <row r="105" spans="1:4" ht="30.75">
      <c r="A105">
        <v>2</v>
      </c>
      <c r="B105" s="72" t="s">
        <v>290</v>
      </c>
      <c r="C105" s="61" t="s">
        <v>291</v>
      </c>
      <c r="D105" s="6" t="s">
        <v>292</v>
      </c>
    </row>
    <row r="106" spans="1:4" ht="33">
      <c r="A106">
        <v>3</v>
      </c>
      <c r="B106" s="72" t="s">
        <v>293</v>
      </c>
      <c r="C106" t="s">
        <v>294</v>
      </c>
      <c r="D106" s="6" t="s">
        <v>295</v>
      </c>
    </row>
    <row r="107" spans="1:4" ht="47.25">
      <c r="A107">
        <v>4</v>
      </c>
      <c r="B107" s="72" t="s">
        <v>296</v>
      </c>
      <c r="C107" s="61" t="s">
        <v>297</v>
      </c>
      <c r="D107" s="64" t="s">
        <v>298</v>
      </c>
    </row>
    <row r="108" spans="1:4" ht="45">
      <c r="A108">
        <v>5</v>
      </c>
      <c r="B108" s="72" t="s">
        <v>299</v>
      </c>
      <c r="C108" s="61" t="s">
        <v>300</v>
      </c>
      <c r="D108" s="64" t="s">
        <v>301</v>
      </c>
    </row>
    <row r="109" spans="1:4" ht="47.25">
      <c r="A109">
        <v>6</v>
      </c>
      <c r="B109" s="72" t="s">
        <v>302</v>
      </c>
      <c r="C109" s="61" t="s">
        <v>303</v>
      </c>
      <c r="D109" s="6" t="s">
        <v>304</v>
      </c>
    </row>
    <row r="110" spans="1:4" ht="49.5">
      <c r="A110">
        <v>7</v>
      </c>
      <c r="B110" s="72" t="s">
        <v>305</v>
      </c>
      <c r="C110" s="61" t="s">
        <v>306</v>
      </c>
      <c r="D110" s="6" t="s">
        <v>307</v>
      </c>
    </row>
    <row r="111" spans="1:4" ht="45">
      <c r="A111">
        <v>8</v>
      </c>
      <c r="B111" s="72" t="s">
        <v>308</v>
      </c>
      <c r="C111" s="61" t="s">
        <v>309</v>
      </c>
      <c r="D111" s="6" t="s">
        <v>310</v>
      </c>
    </row>
    <row r="112" spans="1:4" ht="33">
      <c r="A112">
        <v>9</v>
      </c>
      <c r="B112" s="72" t="s">
        <v>311</v>
      </c>
      <c r="C112" t="s">
        <v>312</v>
      </c>
      <c r="D112" s="6" t="s">
        <v>313</v>
      </c>
    </row>
    <row r="113" spans="1:4" ht="33">
      <c r="A113">
        <v>10</v>
      </c>
      <c r="B113" s="72" t="s">
        <v>314</v>
      </c>
      <c r="C113" s="61" t="s">
        <v>315</v>
      </c>
      <c r="D113" s="64" t="s">
        <v>316</v>
      </c>
    </row>
  </sheetData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"/>
  <sheetViews>
    <sheetView zoomScaleNormal="100" workbookViewId="0">
      <pane ySplit="1" topLeftCell="A2" activePane="bottomLeft" state="frozen"/>
      <selection pane="bottomLeft"/>
    </sheetView>
  </sheetViews>
  <sheetFormatPr defaultColWidth="8.5" defaultRowHeight="16.5"/>
  <cols>
    <col min="1" max="1" width="22" style="6" customWidth="1"/>
    <col min="2" max="2" width="52" style="6" customWidth="1"/>
    <col min="3" max="3" width="12" style="6" customWidth="1"/>
    <col min="4" max="4" width="14" style="6" customWidth="1"/>
    <col min="5" max="5" width="34" style="6" customWidth="1"/>
  </cols>
  <sheetData>
    <row r="1" spans="1:5">
      <c r="A1" s="73" t="s">
        <v>317</v>
      </c>
      <c r="B1" s="73" t="s">
        <v>318</v>
      </c>
      <c r="C1" s="73" t="s">
        <v>319</v>
      </c>
      <c r="D1" s="73" t="s">
        <v>161</v>
      </c>
      <c r="E1" s="73" t="s">
        <v>320</v>
      </c>
    </row>
    <row r="2" spans="1:5">
      <c r="A2" s="74" t="s">
        <v>227</v>
      </c>
      <c r="B2" s="75" t="s">
        <v>226</v>
      </c>
      <c r="C2" s="74">
        <v>1000</v>
      </c>
      <c r="D2" s="74" t="s">
        <v>168</v>
      </c>
      <c r="E2" s="75" t="s">
        <v>321</v>
      </c>
    </row>
    <row r="3" spans="1:5">
      <c r="A3" s="74" t="s">
        <v>227</v>
      </c>
      <c r="B3" s="75" t="s">
        <v>226</v>
      </c>
      <c r="C3" s="74">
        <v>1000</v>
      </c>
      <c r="D3" s="74" t="s">
        <v>168</v>
      </c>
      <c r="E3" s="75" t="s">
        <v>321</v>
      </c>
    </row>
    <row r="4" spans="1:5">
      <c r="A4" s="74" t="s">
        <v>227</v>
      </c>
      <c r="B4" s="75" t="s">
        <v>229</v>
      </c>
      <c r="C4" s="74">
        <v>1000</v>
      </c>
      <c r="D4" s="74" t="s">
        <v>168</v>
      </c>
      <c r="E4" s="75" t="s">
        <v>321</v>
      </c>
    </row>
    <row r="5" spans="1:5">
      <c r="A5" s="74" t="s">
        <v>227</v>
      </c>
      <c r="B5" s="75" t="s">
        <v>229</v>
      </c>
      <c r="C5" s="74">
        <v>1000</v>
      </c>
      <c r="D5" s="74" t="s">
        <v>168</v>
      </c>
      <c r="E5" s="75" t="s">
        <v>321</v>
      </c>
    </row>
    <row r="6" spans="1:5">
      <c r="A6" s="74" t="s">
        <v>227</v>
      </c>
      <c r="B6" s="75" t="s">
        <v>230</v>
      </c>
      <c r="C6" s="74">
        <v>1000</v>
      </c>
      <c r="D6" s="74" t="s">
        <v>168</v>
      </c>
      <c r="E6" s="75" t="s">
        <v>321</v>
      </c>
    </row>
    <row r="7" spans="1:5">
      <c r="A7" s="74" t="s">
        <v>227</v>
      </c>
      <c r="B7" s="75" t="s">
        <v>230</v>
      </c>
      <c r="C7" s="74">
        <v>1000</v>
      </c>
      <c r="D7" s="74" t="s">
        <v>168</v>
      </c>
      <c r="E7" s="75" t="s">
        <v>321</v>
      </c>
    </row>
    <row r="8" spans="1:5">
      <c r="A8" s="74" t="s">
        <v>227</v>
      </c>
      <c r="B8" s="75" t="s">
        <v>228</v>
      </c>
      <c r="C8" s="74">
        <v>500</v>
      </c>
      <c r="D8" s="74" t="s">
        <v>168</v>
      </c>
      <c r="E8" s="75" t="s">
        <v>321</v>
      </c>
    </row>
    <row r="9" spans="1:5">
      <c r="A9" s="74" t="s">
        <v>227</v>
      </c>
      <c r="B9" s="75" t="s">
        <v>228</v>
      </c>
      <c r="C9" s="74">
        <v>500</v>
      </c>
      <c r="D9" s="74" t="s">
        <v>168</v>
      </c>
      <c r="E9" s="75" t="s">
        <v>321</v>
      </c>
    </row>
    <row r="10" spans="1:5">
      <c r="A10" s="6" t="s">
        <v>322</v>
      </c>
      <c r="B10" s="6" t="s">
        <v>322</v>
      </c>
      <c r="C10" s="6">
        <v>10</v>
      </c>
      <c r="D10" s="6" t="s">
        <v>168</v>
      </c>
      <c r="E10" s="64" t="s">
        <v>321</v>
      </c>
    </row>
    <row r="11" spans="1:5">
      <c r="A11" s="64" t="s">
        <v>323</v>
      </c>
      <c r="B11" s="64" t="s">
        <v>324</v>
      </c>
      <c r="C11" s="6">
        <v>30</v>
      </c>
      <c r="D11" s="6" t="s">
        <v>168</v>
      </c>
      <c r="E11" s="64" t="s">
        <v>321</v>
      </c>
    </row>
    <row r="12" spans="1:5">
      <c r="A12" s="64" t="s">
        <v>325</v>
      </c>
      <c r="B12" s="64" t="s">
        <v>326</v>
      </c>
      <c r="C12" s="6">
        <v>20</v>
      </c>
      <c r="D12" s="6" t="s">
        <v>168</v>
      </c>
      <c r="E12" s="64" t="s">
        <v>321</v>
      </c>
    </row>
    <row r="13" spans="1:5">
      <c r="A13" s="64" t="s">
        <v>88</v>
      </c>
      <c r="B13" s="64" t="s">
        <v>251</v>
      </c>
      <c r="C13" s="6">
        <v>10</v>
      </c>
      <c r="D13" s="6" t="s">
        <v>168</v>
      </c>
      <c r="E13" s="64" t="s">
        <v>321</v>
      </c>
    </row>
    <row r="14" spans="1:5">
      <c r="A14" s="64" t="s">
        <v>64</v>
      </c>
      <c r="B14" s="64" t="s">
        <v>224</v>
      </c>
      <c r="C14" s="6">
        <v>3000</v>
      </c>
      <c r="D14" s="64" t="s">
        <v>183</v>
      </c>
      <c r="E14" s="64" t="s">
        <v>327</v>
      </c>
    </row>
    <row r="15" spans="1:5">
      <c r="A15" s="64" t="s">
        <v>120</v>
      </c>
      <c r="B15" s="64" t="s">
        <v>328</v>
      </c>
      <c r="C15" s="6">
        <v>30</v>
      </c>
      <c r="D15" s="6" t="s">
        <v>168</v>
      </c>
      <c r="E15" s="64" t="s">
        <v>321</v>
      </c>
    </row>
    <row r="16" spans="1:5">
      <c r="A16" s="64" t="s">
        <v>47</v>
      </c>
      <c r="B16" s="64" t="s">
        <v>329</v>
      </c>
      <c r="C16" s="6">
        <v>3000</v>
      </c>
      <c r="D16" s="64" t="s">
        <v>183</v>
      </c>
      <c r="E16" s="64" t="s">
        <v>327</v>
      </c>
    </row>
    <row r="17" spans="1:5">
      <c r="A17" s="64" t="s">
        <v>44</v>
      </c>
      <c r="B17" s="64" t="s">
        <v>330</v>
      </c>
      <c r="C17" s="6">
        <v>1000</v>
      </c>
      <c r="D17" s="6" t="s">
        <v>168</v>
      </c>
      <c r="E17" s="64" t="s">
        <v>321</v>
      </c>
    </row>
    <row r="18" spans="1:5">
      <c r="A18" s="64" t="s">
        <v>58</v>
      </c>
      <c r="B18" s="64" t="s">
        <v>234</v>
      </c>
      <c r="C18" s="6">
        <v>500</v>
      </c>
      <c r="D18" s="6" t="s">
        <v>168</v>
      </c>
      <c r="E18" s="64" t="s">
        <v>321</v>
      </c>
    </row>
    <row r="19" spans="1:5">
      <c r="A19" s="64" t="s">
        <v>19</v>
      </c>
      <c r="B19" s="64" t="s">
        <v>19</v>
      </c>
      <c r="C19" s="6">
        <v>3000</v>
      </c>
      <c r="D19" s="6" t="s">
        <v>168</v>
      </c>
      <c r="E19" s="64" t="s">
        <v>321</v>
      </c>
    </row>
    <row r="20" spans="1:5">
      <c r="A20" s="64" t="s">
        <v>81</v>
      </c>
      <c r="B20" s="64" t="s">
        <v>240</v>
      </c>
      <c r="C20" s="6">
        <v>50</v>
      </c>
      <c r="D20" s="6" t="s">
        <v>168</v>
      </c>
      <c r="E20" s="64" t="s">
        <v>321</v>
      </c>
    </row>
    <row r="21" spans="1:5">
      <c r="A21" s="64" t="s">
        <v>79</v>
      </c>
      <c r="B21" s="64" t="s">
        <v>331</v>
      </c>
      <c r="C21" s="6">
        <v>10</v>
      </c>
      <c r="D21" s="6" t="s">
        <v>168</v>
      </c>
      <c r="E21" s="64" t="s">
        <v>321</v>
      </c>
    </row>
    <row r="22" spans="1:5">
      <c r="A22" s="64" t="s">
        <v>38</v>
      </c>
      <c r="B22" s="64" t="s">
        <v>332</v>
      </c>
      <c r="C22" s="6">
        <v>1000</v>
      </c>
      <c r="D22" s="6" t="s">
        <v>168</v>
      </c>
      <c r="E22" s="64" t="s">
        <v>321</v>
      </c>
    </row>
    <row r="23" spans="1:5">
      <c r="A23" s="64" t="s">
        <v>55</v>
      </c>
      <c r="B23" s="64" t="s">
        <v>233</v>
      </c>
      <c r="C23" s="6">
        <v>500</v>
      </c>
      <c r="D23" s="6" t="s">
        <v>168</v>
      </c>
      <c r="E23" s="64" t="s">
        <v>321</v>
      </c>
    </row>
    <row r="24" spans="1:5">
      <c r="A24" s="75" t="s">
        <v>40</v>
      </c>
      <c r="B24" s="75" t="s">
        <v>255</v>
      </c>
      <c r="C24" s="74">
        <v>1000</v>
      </c>
      <c r="D24" s="74" t="s">
        <v>168</v>
      </c>
      <c r="E24" s="75" t="s">
        <v>321</v>
      </c>
    </row>
    <row r="25" spans="1:5">
      <c r="A25" s="75" t="s">
        <v>40</v>
      </c>
      <c r="B25" s="75" t="s">
        <v>40</v>
      </c>
      <c r="C25" s="74">
        <v>100</v>
      </c>
      <c r="D25" s="75" t="s">
        <v>183</v>
      </c>
      <c r="E25" s="75" t="s">
        <v>327</v>
      </c>
    </row>
    <row r="26" spans="1:5">
      <c r="A26" s="75" t="s">
        <v>40</v>
      </c>
      <c r="B26" s="75" t="s">
        <v>237</v>
      </c>
      <c r="C26" s="74">
        <v>25</v>
      </c>
      <c r="D26" s="75" t="s">
        <v>183</v>
      </c>
      <c r="E26" s="75" t="s">
        <v>327</v>
      </c>
    </row>
    <row r="27" spans="1:5">
      <c r="A27" s="75" t="s">
        <v>40</v>
      </c>
      <c r="B27" s="75" t="s">
        <v>238</v>
      </c>
      <c r="C27" s="74">
        <v>25</v>
      </c>
      <c r="D27" s="75" t="s">
        <v>183</v>
      </c>
      <c r="E27" s="75" t="s">
        <v>327</v>
      </c>
    </row>
    <row r="28" spans="1:5">
      <c r="A28" s="75" t="s">
        <v>40</v>
      </c>
      <c r="B28" s="75" t="s">
        <v>239</v>
      </c>
      <c r="C28" s="74">
        <v>25</v>
      </c>
      <c r="D28" s="75" t="s">
        <v>183</v>
      </c>
      <c r="E28" s="75" t="s">
        <v>327</v>
      </c>
    </row>
    <row r="29" spans="1:5">
      <c r="A29" s="75" t="s">
        <v>41</v>
      </c>
      <c r="B29" s="75" t="s">
        <v>263</v>
      </c>
      <c r="C29" s="74">
        <v>5</v>
      </c>
      <c r="D29" s="75" t="s">
        <v>183</v>
      </c>
      <c r="E29" s="75" t="s">
        <v>327</v>
      </c>
    </row>
    <row r="30" spans="1:5">
      <c r="A30" s="75" t="s">
        <v>41</v>
      </c>
      <c r="B30" s="75" t="s">
        <v>261</v>
      </c>
      <c r="C30" s="74">
        <v>1</v>
      </c>
      <c r="D30" s="75" t="s">
        <v>183</v>
      </c>
      <c r="E30" s="75" t="s">
        <v>327</v>
      </c>
    </row>
    <row r="31" spans="1:5">
      <c r="A31" s="75" t="s">
        <v>41</v>
      </c>
      <c r="B31" s="75" t="s">
        <v>262</v>
      </c>
      <c r="C31" s="74">
        <v>1</v>
      </c>
      <c r="D31" s="75" t="s">
        <v>183</v>
      </c>
      <c r="E31" s="75" t="s">
        <v>327</v>
      </c>
    </row>
    <row r="32" spans="1:5">
      <c r="A32" s="75" t="s">
        <v>41</v>
      </c>
      <c r="B32" s="75" t="s">
        <v>264</v>
      </c>
      <c r="C32" s="74">
        <v>1</v>
      </c>
      <c r="D32" s="75" t="s">
        <v>183</v>
      </c>
      <c r="E32" s="75" t="s">
        <v>327</v>
      </c>
    </row>
    <row r="33" spans="1:5">
      <c r="A33" s="75" t="s">
        <v>32</v>
      </c>
      <c r="B33" s="75" t="s">
        <v>268</v>
      </c>
      <c r="C33" s="74">
        <v>1000</v>
      </c>
      <c r="D33" s="74" t="s">
        <v>168</v>
      </c>
      <c r="E33" s="75" t="s">
        <v>321</v>
      </c>
    </row>
    <row r="34" spans="1:5">
      <c r="A34" s="75" t="s">
        <v>32</v>
      </c>
      <c r="B34" s="75" t="s">
        <v>269</v>
      </c>
      <c r="C34" s="74">
        <v>1000</v>
      </c>
      <c r="D34" s="74" t="s">
        <v>168</v>
      </c>
      <c r="E34" s="75" t="s">
        <v>321</v>
      </c>
    </row>
    <row r="35" spans="1:5">
      <c r="A35" s="75" t="s">
        <v>32</v>
      </c>
      <c r="B35" s="75" t="s">
        <v>270</v>
      </c>
      <c r="C35" s="74">
        <v>1000</v>
      </c>
      <c r="D35" s="74" t="s">
        <v>168</v>
      </c>
      <c r="E35" s="75" t="s">
        <v>321</v>
      </c>
    </row>
    <row r="36" spans="1:5">
      <c r="A36" s="64" t="s">
        <v>37</v>
      </c>
      <c r="B36" s="64" t="s">
        <v>333</v>
      </c>
      <c r="C36" s="6">
        <v>2000</v>
      </c>
      <c r="D36" s="6" t="s">
        <v>168</v>
      </c>
      <c r="E36" s="64" t="s">
        <v>321</v>
      </c>
    </row>
    <row r="37" spans="1:5">
      <c r="A37" s="64" t="s">
        <v>57</v>
      </c>
      <c r="B37" s="64" t="s">
        <v>232</v>
      </c>
      <c r="C37" s="6">
        <v>1000</v>
      </c>
      <c r="D37" s="6" t="s">
        <v>168</v>
      </c>
      <c r="E37" s="64" t="s">
        <v>321</v>
      </c>
    </row>
    <row r="38" spans="1:5">
      <c r="A38" s="64" t="s">
        <v>267</v>
      </c>
      <c r="B38" s="64" t="s">
        <v>266</v>
      </c>
      <c r="C38" s="6">
        <v>200</v>
      </c>
      <c r="D38" s="6" t="s">
        <v>168</v>
      </c>
      <c r="E38" s="64" t="s">
        <v>321</v>
      </c>
    </row>
    <row r="39" spans="1:5">
      <c r="A39" s="75" t="s">
        <v>28</v>
      </c>
      <c r="B39" s="75" t="s">
        <v>260</v>
      </c>
      <c r="C39" s="74">
        <v>3000</v>
      </c>
      <c r="D39" s="75" t="s">
        <v>183</v>
      </c>
      <c r="E39" s="75" t="s">
        <v>327</v>
      </c>
    </row>
    <row r="40" spans="1:5">
      <c r="A40" s="75" t="s">
        <v>28</v>
      </c>
      <c r="B40" s="75" t="s">
        <v>265</v>
      </c>
      <c r="C40" s="74">
        <v>1000</v>
      </c>
      <c r="D40" s="74" t="s">
        <v>168</v>
      </c>
      <c r="E40" s="75" t="s">
        <v>321</v>
      </c>
    </row>
    <row r="41" spans="1:5">
      <c r="A41" s="64" t="s">
        <v>128</v>
      </c>
      <c r="B41" s="64" t="s">
        <v>334</v>
      </c>
      <c r="C41" s="6">
        <v>30000</v>
      </c>
      <c r="D41" s="6" t="s">
        <v>198</v>
      </c>
      <c r="E41" s="6" t="s">
        <v>335</v>
      </c>
    </row>
    <row r="42" spans="1:5">
      <c r="A42" s="64" t="s">
        <v>35</v>
      </c>
      <c r="B42" s="64" t="s">
        <v>336</v>
      </c>
      <c r="C42" s="6">
        <v>5000</v>
      </c>
      <c r="D42" s="6" t="s">
        <v>168</v>
      </c>
      <c r="E42" s="64" t="s">
        <v>321</v>
      </c>
    </row>
    <row r="43" spans="1:5">
      <c r="A43" s="64" t="s">
        <v>117</v>
      </c>
      <c r="B43" s="64" t="s">
        <v>337</v>
      </c>
      <c r="C43" s="6">
        <v>1000</v>
      </c>
      <c r="D43" s="6" t="s">
        <v>168</v>
      </c>
      <c r="E43" s="64" t="s">
        <v>321</v>
      </c>
    </row>
    <row r="44" spans="1:5">
      <c r="A44" s="64" t="s">
        <v>91</v>
      </c>
      <c r="B44" s="64" t="s">
        <v>256</v>
      </c>
      <c r="C44" s="6">
        <v>20</v>
      </c>
      <c r="D44" s="6" t="s">
        <v>168</v>
      </c>
      <c r="E44" s="64" t="s">
        <v>321</v>
      </c>
    </row>
    <row r="45" spans="1:5">
      <c r="A45" s="64" t="s">
        <v>78</v>
      </c>
      <c r="B45" s="64" t="s">
        <v>338</v>
      </c>
      <c r="C45" s="6">
        <v>10</v>
      </c>
      <c r="D45" s="6" t="s">
        <v>168</v>
      </c>
      <c r="E45" s="64" t="s">
        <v>321</v>
      </c>
    </row>
    <row r="46" spans="1:5">
      <c r="A46" s="75" t="s">
        <v>87</v>
      </c>
      <c r="B46" s="75" t="s">
        <v>253</v>
      </c>
      <c r="C46" s="74">
        <v>50</v>
      </c>
      <c r="D46" s="74" t="s">
        <v>168</v>
      </c>
      <c r="E46" s="75" t="s">
        <v>321</v>
      </c>
    </row>
    <row r="47" spans="1:5">
      <c r="A47" s="75" t="s">
        <v>87</v>
      </c>
      <c r="B47" s="75" t="s">
        <v>254</v>
      </c>
      <c r="C47" s="74">
        <v>50</v>
      </c>
      <c r="D47" s="74" t="s">
        <v>168</v>
      </c>
      <c r="E47" s="75" t="s">
        <v>321</v>
      </c>
    </row>
    <row r="48" spans="1:5">
      <c r="A48" s="75" t="s">
        <v>36</v>
      </c>
      <c r="B48" s="75" t="s">
        <v>339</v>
      </c>
      <c r="C48" s="74">
        <v>5000</v>
      </c>
      <c r="D48" s="74" t="s">
        <v>168</v>
      </c>
      <c r="E48" s="75" t="s">
        <v>321</v>
      </c>
    </row>
    <row r="49" spans="1:5">
      <c r="A49" s="75" t="s">
        <v>36</v>
      </c>
      <c r="B49" s="75" t="s">
        <v>340</v>
      </c>
      <c r="C49" s="74">
        <v>5000</v>
      </c>
      <c r="D49" s="74" t="s">
        <v>168</v>
      </c>
      <c r="E49" s="75" t="s">
        <v>321</v>
      </c>
    </row>
    <row r="50" spans="1:5">
      <c r="A50" s="64" t="s">
        <v>42</v>
      </c>
      <c r="B50" s="64" t="s">
        <v>341</v>
      </c>
      <c r="C50" s="6">
        <v>500</v>
      </c>
      <c r="D50" s="6" t="s">
        <v>168</v>
      </c>
      <c r="E50" s="64" t="s">
        <v>321</v>
      </c>
    </row>
    <row r="51" spans="1:5">
      <c r="A51" s="64" t="s">
        <v>54</v>
      </c>
      <c r="B51" s="64" t="s">
        <v>231</v>
      </c>
      <c r="C51" s="6">
        <v>1000</v>
      </c>
      <c r="D51" s="6" t="s">
        <v>168</v>
      </c>
      <c r="E51" s="64" t="s">
        <v>321</v>
      </c>
    </row>
    <row r="52" spans="1:5">
      <c r="A52" s="64" t="s">
        <v>90</v>
      </c>
      <c r="B52" s="64" t="s">
        <v>252</v>
      </c>
      <c r="C52" s="6">
        <v>10</v>
      </c>
      <c r="D52" s="6" t="s">
        <v>168</v>
      </c>
      <c r="E52" s="64" t="s">
        <v>321</v>
      </c>
    </row>
    <row r="53" spans="1:5">
      <c r="A53" s="64" t="s">
        <v>116</v>
      </c>
      <c r="B53" s="64" t="s">
        <v>342</v>
      </c>
      <c r="C53" s="6">
        <v>10</v>
      </c>
      <c r="D53" s="6" t="s">
        <v>168</v>
      </c>
      <c r="E53" s="64" t="s">
        <v>321</v>
      </c>
    </row>
  </sheetData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/>
  </sheetViews>
  <sheetFormatPr defaultColWidth="8.5" defaultRowHeight="16.5"/>
  <sheetData>
    <row r="1" spans="1:3">
      <c r="A1" t="s">
        <v>343</v>
      </c>
      <c r="B1" t="s">
        <v>344</v>
      </c>
      <c r="C1" t="s">
        <v>345</v>
      </c>
    </row>
    <row r="2" spans="1:3">
      <c r="A2" s="61" t="s">
        <v>64</v>
      </c>
      <c r="B2" s="61" t="s">
        <v>224</v>
      </c>
      <c r="C2">
        <v>3000</v>
      </c>
    </row>
    <row r="3" spans="1:3">
      <c r="A3" s="61" t="s">
        <v>28</v>
      </c>
      <c r="B3" s="61" t="s">
        <v>260</v>
      </c>
      <c r="C3">
        <v>3000</v>
      </c>
    </row>
    <row r="4" spans="1:3">
      <c r="A4" s="61" t="s">
        <v>32</v>
      </c>
      <c r="B4" s="61" t="s">
        <v>270</v>
      </c>
      <c r="C4">
        <v>1000</v>
      </c>
    </row>
    <row r="5" spans="1:3">
      <c r="A5" s="61" t="s">
        <v>44</v>
      </c>
      <c r="B5" s="61" t="s">
        <v>330</v>
      </c>
      <c r="C5">
        <v>1000</v>
      </c>
    </row>
    <row r="6" spans="1:3">
      <c r="A6" t="s">
        <v>227</v>
      </c>
      <c r="B6" s="61" t="s">
        <v>230</v>
      </c>
      <c r="C6">
        <v>1000</v>
      </c>
    </row>
  </sheetData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보장분석</vt:lpstr>
      <vt:lpstr>법칙</vt:lpstr>
      <vt:lpstr>확인사항</vt:lpstr>
      <vt:lpstr>근거표</vt:lpstr>
      <vt:lpstr>_dambo_raw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은혜 최</cp:lastModifiedBy>
  <cp:lastPrinted>2026-08-09T03:20:17Z</cp:lastPrinted>
  <dcterms:modified xsi:type="dcterms:W3CDTF">2026-08-09T03:25:29Z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2026-08-09T02:46:49Z</dcterms:modified>
  <cp:revision>0</cp:revision>
  <dc:subject/>
  <dc:title/>
</cp:coreProperties>
</file>