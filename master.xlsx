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855" windowWidth="20100" windowHeight="15345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지침케이스" sheetId="3" state="visible" r:id="rId3"/>
    <sheet xmlns:r="http://schemas.openxmlformats.org/officeDocument/2006/relationships" name="해석원칙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5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charset val="129"/>
      <family val="3"/>
      <b val="1"/>
      <color rgb="FFC0392B"/>
      <sz val="12"/>
    </font>
    <font>
      <name val="맑은 고딕"/>
      <charset val="129"/>
      <family val="3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1F38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rgb="FFC0C0C0"/>
      </patternFill>
    </fill>
    <fill>
      <patternFill patternType="solid">
        <fgColor rgb="FFFFFFCC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70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164" fontId="5" fillId="2" borderId="36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8" applyAlignment="1" pivotButton="0" quotePrefix="0" xfId="0">
      <alignment horizontal="center" vertical="center"/>
    </xf>
    <xf numFmtId="164" fontId="5" fillId="2" borderId="39" applyAlignment="1" pivotButton="0" quotePrefix="0" xfId="0">
      <alignment horizontal="center" vertical="center"/>
    </xf>
    <xf numFmtId="164" fontId="5" fillId="6" borderId="4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5" fillId="2" borderId="42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3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6" applyAlignment="1" pivotButton="0" quotePrefix="0" xfId="0">
      <alignment horizontal="center" vertical="center"/>
    </xf>
    <xf numFmtId="0" fontId="13" fillId="0" borderId="0" pivotButton="0" quotePrefix="0" xfId="0"/>
    <xf numFmtId="0" fontId="14" fillId="9" borderId="0" applyAlignment="1" pivotButton="0" quotePrefix="0" xfId="0">
      <alignment horizontal="center"/>
    </xf>
    <xf numFmtId="164" fontId="9" fillId="10" borderId="28" applyAlignment="1" pivotButton="0" quotePrefix="0" xfId="0">
      <alignment horizontal="center" vertical="center"/>
    </xf>
    <xf numFmtId="164" fontId="5" fillId="11" borderId="24" applyAlignment="1" pivotButton="0" quotePrefix="0" xfId="0">
      <alignment horizontal="center" vertical="center"/>
    </xf>
    <xf numFmtId="164" fontId="5" fillId="11" borderId="22" applyAlignment="1" pivotButton="0" quotePrefix="0" xfId="0">
      <alignment horizontal="center" vertical="center"/>
    </xf>
    <xf numFmtId="164" fontId="5" fillId="11" borderId="28" applyAlignment="1" pivotButton="0" quotePrefix="0" xfId="0">
      <alignment horizontal="center" vertical="center"/>
    </xf>
    <xf numFmtId="164" fontId="9" fillId="10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12" borderId="25" pivotButton="0" quotePrefix="0" xfId="0"/>
    <xf numFmtId="0" fontId="4" fillId="8" borderId="46" applyAlignment="1" pivotButton="0" quotePrefix="0" xfId="0">
      <alignment horizontal="center" vertical="center"/>
    </xf>
    <xf numFmtId="164" fontId="5" fillId="8" borderId="34" applyAlignment="1" pivotButton="0" quotePrefix="0" xfId="0">
      <alignment horizontal="center" vertical="center"/>
    </xf>
    <xf numFmtId="164" fontId="5" fillId="13" borderId="25" applyAlignment="1" pivotButton="0" quotePrefix="0" xfId="0">
      <alignment horizontal="center" vertical="center"/>
    </xf>
    <xf numFmtId="0" fontId="4" fillId="14" borderId="47" applyAlignment="1" pivotButton="0" quotePrefix="0" xfId="0">
      <alignment horizontal="center" vertical="center"/>
    </xf>
    <xf numFmtId="164" fontId="5" fillId="14" borderId="5" applyAlignment="1" pivotButton="0" quotePrefix="0" xfId="0">
      <alignment horizontal="center" vertical="center"/>
    </xf>
    <xf numFmtId="164" fontId="5" fillId="14" borderId="16" applyAlignment="1" pivotButton="0" quotePrefix="0" xfId="0">
      <alignment horizontal="center" vertical="center"/>
    </xf>
    <xf numFmtId="0" fontId="4" fillId="14" borderId="48" applyAlignment="1" pivotButton="0" quotePrefix="0" xfId="0">
      <alignment horizontal="center" vertical="center"/>
    </xf>
    <xf numFmtId="164" fontId="5" fillId="14" borderId="49" applyAlignment="1" pivotButton="0" quotePrefix="0" xfId="0">
      <alignment horizontal="center" vertical="center"/>
    </xf>
    <xf numFmtId="164" fontId="5" fillId="14" borderId="23" applyAlignment="1" pivotButton="0" quotePrefix="0" xfId="0">
      <alignment horizontal="center" vertical="center"/>
    </xf>
    <xf numFmtId="0" fontId="4" fillId="2" borderId="5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4" pivotButton="0" quotePrefix="0" xfId="0"/>
    <xf numFmtId="0" fontId="4" fillId="7" borderId="14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37" pivotButton="0" quotePrefix="0" xfId="0"/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34" applyAlignment="1" pivotButton="0" quotePrefix="0" xfId="0">
      <alignment horizontal="center" vertical="center"/>
    </xf>
    <xf numFmtId="164" fontId="5" fillId="13" borderId="2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14" borderId="5" applyAlignment="1" pivotButton="0" quotePrefix="0" xfId="0">
      <alignment horizontal="center" vertical="center"/>
    </xf>
    <xf numFmtId="164" fontId="5" fillId="14" borderId="16" applyAlignment="1" pivotButton="0" quotePrefix="0" xfId="0">
      <alignment horizontal="center" vertical="center"/>
    </xf>
    <xf numFmtId="164" fontId="5" fillId="14" borderId="49" applyAlignment="1" pivotButton="0" quotePrefix="0" xfId="0">
      <alignment horizontal="center" vertical="center"/>
    </xf>
    <xf numFmtId="164" fontId="5" fillId="14" borderId="23" applyAlignment="1" pivotButton="0" quotePrefix="0" xfId="0">
      <alignment horizontal="center" vertical="center"/>
    </xf>
    <xf numFmtId="164" fontId="5" fillId="2" borderId="34" applyAlignment="1" pivotButton="0" quotePrefix="0" xfId="0">
      <alignment horizontal="center" vertical="center"/>
    </xf>
    <xf numFmtId="164" fontId="5" fillId="2" borderId="36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10" borderId="28" applyAlignment="1" pivotButton="0" quotePrefix="0" xfId="0">
      <alignment horizontal="center" vertical="center"/>
    </xf>
    <xf numFmtId="164" fontId="5" fillId="11" borderId="24" applyAlignment="1" pivotButton="0" quotePrefix="0" xfId="0">
      <alignment horizontal="center" vertical="center"/>
    </xf>
    <xf numFmtId="164" fontId="5" fillId="11" borderId="22" applyAlignment="1" pivotButton="0" quotePrefix="0" xfId="0">
      <alignment horizontal="center" vertical="center"/>
    </xf>
    <xf numFmtId="164" fontId="5" fillId="11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10" borderId="24" applyAlignment="1" pivotButton="0" quotePrefix="0" xfId="0">
      <alignment horizontal="center" vertical="center"/>
    </xf>
    <xf numFmtId="164" fontId="5" fillId="2" borderId="39" applyAlignment="1" pivotButton="0" quotePrefix="0" xfId="0">
      <alignment horizontal="center" vertical="center"/>
    </xf>
    <xf numFmtId="164" fontId="5" fillId="6" borderId="40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3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tabSelected="1" topLeftCell="A32" zoomScaleNormal="100" workbookViewId="0">
      <selection activeCell="D53" sqref="D53"/>
    </sheetView>
  </sheetViews>
  <sheetFormatPr baseColWidth="8" defaultColWidth="9" defaultRowHeight="16.5"/>
  <cols>
    <col width="6.5" customWidth="1" style="77" min="1" max="1"/>
    <col width="17.375" customWidth="1" style="77" min="2" max="2"/>
    <col width="14.5" customWidth="1" style="77" min="3" max="7"/>
    <col width="16.5" customWidth="1" style="77" min="8" max="8"/>
    <col width="14.5" customWidth="1" style="77" min="9" max="9"/>
    <col width="22.875" customWidth="1" style="77" min="10" max="10"/>
    <col width="1.5" customWidth="1" style="77" min="11" max="11"/>
    <col width="11.375" customWidth="1" style="77" min="12" max="18"/>
  </cols>
  <sheetData>
    <row r="1" ht="38.25" customHeight="1" s="77">
      <c r="A1" s="102" t="n"/>
      <c r="B1" s="103" t="n"/>
      <c r="C1" s="113" t="n"/>
      <c r="D1" s="113" t="n"/>
      <c r="E1" s="113" t="n"/>
      <c r="F1" s="113" t="n"/>
      <c r="G1" s="113" t="n"/>
      <c r="H1" s="113" t="n"/>
      <c r="I1" s="114" t="n"/>
      <c r="J1" s="3" t="inlineStr">
        <is>
          <t>합계</t>
        </is>
      </c>
    </row>
    <row r="2" ht="16.5" customHeight="1" s="77">
      <c r="A2" s="109" t="inlineStr">
        <is>
          <t>보험료</t>
        </is>
      </c>
      <c r="B2" s="110" t="n"/>
      <c r="C2" s="115" t="n"/>
      <c r="D2" s="115" t="n"/>
      <c r="E2" s="115" t="n"/>
      <c r="F2" s="115" t="n"/>
      <c r="G2" s="115" t="n"/>
      <c r="H2" s="115" t="n"/>
      <c r="I2" s="115" t="n"/>
      <c r="J2" s="116">
        <f>SUM(C2:I2)</f>
        <v/>
      </c>
    </row>
    <row r="3" ht="16.5" customHeight="1" s="77">
      <c r="A3" s="107" t="inlineStr">
        <is>
          <t>가입년일</t>
        </is>
      </c>
      <c r="B3" s="108" t="n"/>
      <c r="C3" s="117" t="n"/>
      <c r="D3" s="117" t="n"/>
      <c r="E3" s="117" t="n"/>
      <c r="F3" s="117" t="n"/>
      <c r="G3" s="117" t="n"/>
      <c r="H3" s="117" t="n"/>
      <c r="I3" s="117" t="n"/>
      <c r="J3" s="118">
        <f>SUM(C3:I3)</f>
        <v/>
      </c>
    </row>
    <row r="4" ht="16.5" customHeight="1" s="77">
      <c r="A4" s="107" t="inlineStr">
        <is>
          <t>만기일자</t>
        </is>
      </c>
      <c r="B4" s="108" t="n"/>
      <c r="C4" s="119" t="n"/>
      <c r="D4" s="119" t="n"/>
      <c r="E4" s="119" t="n"/>
      <c r="F4" s="119" t="n"/>
      <c r="G4" s="119" t="n"/>
      <c r="H4" s="119" t="n"/>
      <c r="I4" s="119" t="n"/>
      <c r="J4" s="118">
        <f>SUM(C4:I4)</f>
        <v/>
      </c>
    </row>
    <row r="5" ht="17.25" customHeight="1" s="77">
      <c r="A5" s="111" t="inlineStr">
        <is>
          <t>총납입기간</t>
        </is>
      </c>
      <c r="B5" s="112" t="n"/>
      <c r="C5" s="120" t="n"/>
      <c r="D5" s="120" t="n"/>
      <c r="E5" s="120" t="n"/>
      <c r="F5" s="120" t="n"/>
      <c r="G5" s="120" t="n"/>
      <c r="H5" s="120" t="n"/>
      <c r="I5" s="120" t="n"/>
      <c r="J5" s="121">
        <f>SUM(C5:I5)</f>
        <v/>
      </c>
    </row>
    <row r="6" ht="16.5" customHeight="1" s="77">
      <c r="A6" s="104" t="inlineStr">
        <is>
          <t>사망</t>
        </is>
      </c>
      <c r="B6" s="13" t="inlineStr">
        <is>
          <t>일반사망</t>
        </is>
      </c>
      <c r="C6" s="122" t="n"/>
      <c r="D6" s="122" t="n"/>
      <c r="E6" s="122" t="n"/>
      <c r="F6" s="122" t="n"/>
      <c r="G6" s="122" t="n"/>
      <c r="H6" s="122" t="n"/>
      <c r="I6" s="122" t="n"/>
      <c r="J6" s="123">
        <f>SUM(C6:I6)</f>
        <v/>
      </c>
    </row>
    <row r="7" ht="17.25" customHeight="1" s="77">
      <c r="A7" s="105" t="n"/>
      <c r="B7" s="16" t="inlineStr">
        <is>
          <t>중대한CI적용</t>
        </is>
      </c>
      <c r="C7" s="124" t="n"/>
      <c r="D7" s="124" t="n"/>
      <c r="E7" s="124" t="n"/>
      <c r="F7" s="124" t="n"/>
      <c r="G7" s="124" t="n"/>
      <c r="H7" s="124" t="n"/>
      <c r="I7" s="124" t="n"/>
      <c r="J7" s="125">
        <f>SUM(C7:I7)</f>
        <v/>
      </c>
    </row>
    <row r="8" ht="17.25" customHeight="1" s="77">
      <c r="A8" s="105" t="n"/>
      <c r="B8" s="19" t="inlineStr">
        <is>
          <t>질병사망(80세)</t>
        </is>
      </c>
      <c r="C8" s="126" t="n"/>
      <c r="D8" s="126" t="n"/>
      <c r="E8" s="126" t="n"/>
      <c r="F8" s="126" t="n"/>
      <c r="G8" s="126" t="n"/>
      <c r="H8" s="126" t="n"/>
      <c r="I8" s="126" t="n"/>
      <c r="J8" s="127">
        <f>SUM(C8:I8)</f>
        <v/>
      </c>
    </row>
    <row r="9" ht="16.5" customHeight="1" s="77">
      <c r="A9" s="105" t="n"/>
      <c r="B9" s="22" t="inlineStr">
        <is>
          <t>교통상해사망</t>
        </is>
      </c>
      <c r="C9" s="128" t="n"/>
      <c r="D9" s="128" t="n"/>
      <c r="E9" s="128" t="n"/>
      <c r="F9" s="128" t="n"/>
      <c r="G9" s="128" t="n"/>
      <c r="H9" s="128" t="n"/>
      <c r="I9" s="128" t="n"/>
      <c r="J9" s="129">
        <f>SUM(C9:I9)</f>
        <v/>
      </c>
    </row>
    <row r="10" ht="17.25" customHeight="1" s="77">
      <c r="A10" s="106" t="n"/>
      <c r="B10" s="25" t="inlineStr">
        <is>
          <t>상해사망</t>
        </is>
      </c>
      <c r="C10" s="130" t="n"/>
      <c r="D10" s="130" t="n"/>
      <c r="E10" s="130" t="n"/>
      <c r="F10" s="130" t="n"/>
      <c r="G10" s="130" t="n"/>
      <c r="H10" s="130" t="n"/>
      <c r="I10" s="130" t="n"/>
      <c r="J10" s="131">
        <f>SUM(C10:I10)</f>
        <v/>
      </c>
    </row>
    <row r="11" ht="16.5" customHeight="1" s="77">
      <c r="A11" s="104" t="inlineStr">
        <is>
          <t>후유장애</t>
        </is>
      </c>
      <c r="B11" s="28" t="inlineStr">
        <is>
          <t>상해후유3%</t>
        </is>
      </c>
      <c r="C11" s="132" t="n"/>
      <c r="D11" s="132" t="n"/>
      <c r="E11" s="132" t="n"/>
      <c r="F11" s="132" t="n"/>
      <c r="G11" s="132" t="n"/>
      <c r="H11" s="132" t="n"/>
      <c r="I11" s="132" t="n"/>
      <c r="J11" s="133">
        <f>SUM(C11:I11)</f>
        <v/>
      </c>
    </row>
    <row r="12" ht="16.5" customHeight="1" s="77">
      <c r="A12" s="105" t="n"/>
      <c r="B12" s="31" t="inlineStr">
        <is>
          <t>상해후유80%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5">
        <f>SUM(C12:I12)</f>
        <v/>
      </c>
    </row>
    <row r="13" ht="16.5" customHeight="1" s="77">
      <c r="A13" s="105" t="n"/>
      <c r="B13" s="31" t="inlineStr">
        <is>
          <t>질병후유3%</t>
        </is>
      </c>
      <c r="C13" s="134" t="n"/>
      <c r="D13" s="134" t="n"/>
      <c r="E13" s="134" t="n"/>
      <c r="F13" s="134" t="n"/>
      <c r="G13" s="134" t="n"/>
      <c r="H13" s="134" t="n"/>
      <c r="I13" s="134" t="n"/>
      <c r="J13" s="135">
        <f>SUM(C13:I13)</f>
        <v/>
      </c>
    </row>
    <row r="14" ht="17.25" customHeight="1" s="77">
      <c r="A14" s="106" t="n"/>
      <c r="B14" s="25" t="inlineStr">
        <is>
          <t>질병후유80%</t>
        </is>
      </c>
      <c r="C14" s="130" t="n"/>
      <c r="D14" s="130" t="n"/>
      <c r="E14" s="130" t="n"/>
      <c r="F14" s="130" t="n"/>
      <c r="G14" s="130" t="n"/>
      <c r="H14" s="130" t="n"/>
      <c r="I14" s="130" t="n"/>
      <c r="J14" s="135">
        <f>SUM(C14:I14)</f>
        <v/>
      </c>
    </row>
    <row r="15" ht="17.25" customHeight="1" s="77">
      <c r="A15" s="104" t="inlineStr">
        <is>
          <t>암</t>
        </is>
      </c>
      <c r="B15" s="34" t="inlineStr">
        <is>
          <t>고액암</t>
        </is>
      </c>
      <c r="C15" s="136" t="n"/>
      <c r="D15" s="136" t="n"/>
      <c r="E15" s="136" t="n"/>
      <c r="F15" s="136" t="n"/>
      <c r="G15" s="136" t="n"/>
      <c r="H15" s="136" t="n"/>
      <c r="I15" s="136" t="n"/>
      <c r="J15" s="137">
        <f>SUM(C15:I15)</f>
        <v/>
      </c>
    </row>
    <row r="16" ht="16.5" customHeight="1" s="77">
      <c r="A16" s="105" t="n"/>
      <c r="B16" s="13" t="inlineStr">
        <is>
          <t>통합암</t>
        </is>
      </c>
      <c r="C16" s="138" t="n"/>
      <c r="D16" s="138" t="n"/>
      <c r="E16" s="138" t="n"/>
      <c r="F16" s="138" t="n"/>
      <c r="G16" s="138" t="n"/>
      <c r="H16" s="138" t="n"/>
      <c r="I16" s="138" t="n"/>
      <c r="J16" s="123">
        <f>SUM(C16:I16)</f>
        <v/>
      </c>
    </row>
    <row r="17" ht="16.5" customHeight="1" s="77">
      <c r="A17" s="105" t="n"/>
      <c r="B17" s="92" t="inlineStr">
        <is>
          <t>일반암</t>
        </is>
      </c>
      <c r="C17" s="139" t="n"/>
      <c r="D17" s="139" t="n"/>
      <c r="E17" s="139" t="n"/>
      <c r="F17" s="139" t="n"/>
      <c r="G17" s="139" t="n"/>
      <c r="H17" s="139" t="n"/>
      <c r="I17" s="139" t="n"/>
      <c r="J17" s="140">
        <f>SUM(C15:I15)</f>
        <v/>
      </c>
    </row>
    <row r="18" ht="17.25" customHeight="1" s="77" thickBot="1">
      <c r="A18" s="105" t="n"/>
      <c r="B18" s="38" t="inlineStr">
        <is>
          <t>중대한 암</t>
        </is>
      </c>
      <c r="C18" s="141" t="n"/>
      <c r="D18" s="141" t="n"/>
      <c r="E18" s="141" t="n"/>
      <c r="F18" s="141" t="n"/>
      <c r="G18" s="141" t="n"/>
      <c r="H18" s="141" t="n"/>
      <c r="I18" s="141" t="n"/>
      <c r="J18" s="125">
        <f>SUM(C18:I18)</f>
        <v/>
      </c>
    </row>
    <row r="19" ht="16.5" customHeight="1" s="77">
      <c r="A19" s="105" t="n"/>
      <c r="B19" s="40" t="inlineStr">
        <is>
          <t>유사암(갑.기.경.제)</t>
        </is>
      </c>
      <c r="C19" s="142" t="n"/>
      <c r="D19" s="142" t="n"/>
      <c r="E19" s="142" t="n"/>
      <c r="F19" s="142" t="n"/>
      <c r="G19" s="142" t="n"/>
      <c r="H19" s="142" t="n"/>
      <c r="I19" s="142" t="n"/>
      <c r="J19" s="129">
        <f>SUM(C19:I19)</f>
        <v/>
      </c>
    </row>
    <row r="20" ht="16.5" customHeight="1" s="77">
      <c r="A20" s="105" t="n"/>
      <c r="B20" s="40" t="inlineStr">
        <is>
          <t>소액암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29">
        <f>SUM(C20:I20)</f>
        <v/>
      </c>
    </row>
    <row r="21" ht="16.5" customHeight="1" s="77">
      <c r="A21" s="105" t="n"/>
      <c r="B21" s="40" t="inlineStr">
        <is>
          <t>통합전이암</t>
        </is>
      </c>
      <c r="C21" s="142" t="n"/>
      <c r="D21" s="142" t="n"/>
      <c r="E21" s="142" t="n"/>
      <c r="F21" s="142" t="n"/>
      <c r="G21" s="142" t="n"/>
      <c r="H21" s="142" t="n"/>
      <c r="I21" s="142" t="n"/>
      <c r="J21" s="129" t="n"/>
    </row>
    <row r="22" ht="16.5" customHeight="1" s="77">
      <c r="A22" s="105" t="n"/>
      <c r="B22" s="42" t="inlineStr">
        <is>
          <t>암주요치료비</t>
        </is>
      </c>
      <c r="C22" s="143" t="n"/>
      <c r="D22" s="143" t="n"/>
      <c r="E22" s="143" t="n"/>
      <c r="F22" s="143" t="n"/>
      <c r="G22" s="143" t="n"/>
      <c r="H22" s="143" t="n"/>
      <c r="I22" s="142" t="n"/>
      <c r="J22" s="129" t="n"/>
    </row>
    <row r="23" ht="16.5" customHeight="1" s="77">
      <c r="A23" s="105" t="n"/>
      <c r="B23" s="42" t="inlineStr">
        <is>
          <t>10억 플랜</t>
        </is>
      </c>
      <c r="C23" s="143" t="n"/>
      <c r="D23" s="143" t="n"/>
      <c r="E23" s="143" t="n"/>
      <c r="F23" s="143" t="n"/>
      <c r="G23" s="143" t="n"/>
      <c r="H23" s="143" t="n"/>
      <c r="I23" s="142" t="n"/>
      <c r="J23" s="129" t="n"/>
    </row>
    <row r="24" ht="16.5" customHeight="1" s="77">
      <c r="A24" s="105" t="n"/>
      <c r="B24" s="42" t="inlineStr">
        <is>
          <t>하이클래스(암)</t>
        </is>
      </c>
      <c r="C24" s="142" t="n"/>
      <c r="D24" s="142" t="n"/>
      <c r="E24" s="142" t="n"/>
      <c r="F24" s="142" t="n"/>
      <c r="G24" s="142" t="n"/>
      <c r="H24" s="142" t="n"/>
      <c r="I24" s="142" t="n"/>
      <c r="J24" s="135">
        <f>SUM(C22:I22)</f>
        <v/>
      </c>
    </row>
    <row r="25" ht="16.5" customHeight="1" s="77">
      <c r="A25" s="105" t="n"/>
      <c r="B25" s="42" t="inlineStr">
        <is>
          <t>중입자치료비</t>
        </is>
      </c>
      <c r="C25" s="143" t="n"/>
      <c r="D25" s="143" t="n"/>
      <c r="E25" s="143" t="n"/>
      <c r="F25" s="143" t="n"/>
      <c r="G25" s="143" t="n"/>
      <c r="H25" s="143" t="n"/>
      <c r="I25" s="142" t="n"/>
      <c r="J25" s="129">
        <f>SUM(C24:I24)</f>
        <v/>
      </c>
    </row>
    <row r="26" ht="16.5" customHeight="1" s="77">
      <c r="A26" s="105" t="n"/>
      <c r="B26" s="42" t="inlineStr">
        <is>
          <t>표적항암치료비</t>
        </is>
      </c>
      <c r="C26" s="143" t="n"/>
      <c r="D26" s="143" t="n"/>
      <c r="E26" s="143" t="n"/>
      <c r="F26" s="143" t="n"/>
      <c r="G26" s="143" t="n"/>
      <c r="H26" s="143" t="n"/>
      <c r="I26" s="142" t="n"/>
      <c r="J26" s="129" t="n"/>
    </row>
    <row r="27" ht="16.5" customHeight="1" s="77">
      <c r="A27" s="105" t="n"/>
      <c r="B27" s="44" t="inlineStr">
        <is>
          <t>양성자치료</t>
        </is>
      </c>
      <c r="C27" s="144" t="n"/>
      <c r="D27" s="144" t="n"/>
      <c r="E27" s="144" t="n"/>
      <c r="F27" s="144" t="n"/>
      <c r="G27" s="144" t="n"/>
      <c r="H27" s="144" t="n"/>
      <c r="I27" s="145" t="n"/>
      <c r="J27" s="135">
        <f>SUM(C26:I26)</f>
        <v/>
      </c>
    </row>
    <row r="28" ht="16.5" customHeight="1" s="77">
      <c r="A28" s="105" t="n"/>
      <c r="B28" s="44" t="inlineStr">
        <is>
          <t>세기조절치료</t>
        </is>
      </c>
      <c r="C28" s="144" t="n"/>
      <c r="D28" s="144" t="n"/>
      <c r="E28" s="144" t="n"/>
      <c r="F28" s="144" t="n"/>
      <c r="G28" s="144" t="n"/>
      <c r="H28" s="144" t="n"/>
      <c r="I28" s="145" t="n"/>
      <c r="J28" s="135">
        <f>SUM(C27:I27)</f>
        <v/>
      </c>
    </row>
    <row r="29" ht="16.5" customHeight="1" s="77">
      <c r="A29" s="105" t="n"/>
      <c r="B29" s="44" t="inlineStr">
        <is>
          <t>다빈치로봇수술비</t>
        </is>
      </c>
      <c r="C29" s="144" t="n"/>
      <c r="D29" s="144" t="n"/>
      <c r="E29" s="144" t="n"/>
      <c r="F29" s="144" t="n"/>
      <c r="G29" s="144" t="n"/>
      <c r="H29" s="144" t="n"/>
      <c r="I29" s="145" t="n"/>
      <c r="J29" s="135">
        <f>SUM(C28:I28)</f>
        <v/>
      </c>
    </row>
    <row r="30" ht="16.5" customHeight="1" s="77">
      <c r="A30" s="105" t="n"/>
      <c r="B30" s="44" t="inlineStr">
        <is>
          <t>암수술</t>
        </is>
      </c>
      <c r="C30" s="145" t="n"/>
      <c r="D30" s="145" t="n"/>
      <c r="E30" s="145" t="n"/>
      <c r="F30" s="145" t="n"/>
      <c r="G30" s="145" t="n"/>
      <c r="H30" s="145" t="n"/>
      <c r="I30" s="145" t="n"/>
      <c r="J30" s="135">
        <f>SUM(C29:I29)</f>
        <v/>
      </c>
    </row>
    <row r="31" ht="17.25" customHeight="1" s="77">
      <c r="A31" s="105" t="n"/>
      <c r="B31" s="31" t="inlineStr">
        <is>
          <t>암일당</t>
        </is>
      </c>
      <c r="C31" s="134" t="n"/>
      <c r="D31" s="134" t="n"/>
      <c r="E31" s="134" t="n"/>
      <c r="F31" s="134" t="n"/>
      <c r="G31" s="134" t="n"/>
      <c r="H31" s="134" t="n"/>
      <c r="I31" s="134" t="n"/>
      <c r="J31" s="135">
        <f>SUM(C30:I30)</f>
        <v/>
      </c>
    </row>
    <row r="32" ht="17.25" customHeight="1" s="77">
      <c r="A32" s="106" t="n"/>
      <c r="B32" s="25" t="inlineStr">
        <is>
          <t>항암방사선약물</t>
        </is>
      </c>
      <c r="C32" s="130" t="n"/>
      <c r="D32" s="130" t="n"/>
      <c r="E32" s="130" t="n"/>
      <c r="F32" s="130" t="n"/>
      <c r="G32" s="130" t="n"/>
      <c r="H32" s="130" t="n"/>
      <c r="I32" s="130" t="n"/>
      <c r="J32" s="131">
        <f>SUM(C31:I31)</f>
        <v/>
      </c>
    </row>
    <row r="33" ht="16.5" customHeight="1" s="77">
      <c r="A33" s="104" t="inlineStr">
        <is>
          <t>뇌혈관</t>
        </is>
      </c>
      <c r="B33" s="34" t="inlineStr">
        <is>
          <t>뇌혈관진단비</t>
        </is>
      </c>
      <c r="C33" s="136" t="n"/>
      <c r="D33" s="136" t="n"/>
      <c r="E33" s="136" t="n"/>
      <c r="F33" s="136" t="n"/>
      <c r="G33" s="136" t="n"/>
      <c r="H33" s="136" t="n"/>
      <c r="I33" s="136" t="n"/>
      <c r="J33" s="137">
        <f>SUM(C32:I32)</f>
        <v/>
      </c>
    </row>
    <row r="34" ht="17.25" customHeight="1" s="77" thickBot="1">
      <c r="A34" s="105" t="n"/>
      <c r="B34" s="47" t="inlineStr">
        <is>
          <t>뇌졸증진단비</t>
        </is>
      </c>
      <c r="C34" s="146" t="n"/>
      <c r="D34" s="146" t="n"/>
      <c r="E34" s="146" t="n"/>
      <c r="F34" s="146" t="n"/>
      <c r="G34" s="146" t="n"/>
      <c r="H34" s="146" t="n"/>
      <c r="I34" s="146" t="n"/>
      <c r="J34" s="147">
        <f>SUM(C33:I33)</f>
        <v/>
      </c>
    </row>
    <row r="35" ht="16.5" customHeight="1" s="77">
      <c r="A35" s="105" t="n"/>
      <c r="B35" s="50" t="inlineStr">
        <is>
          <t>중대한 뇌졸증</t>
        </is>
      </c>
      <c r="C35" s="141" t="n"/>
      <c r="D35" s="141" t="n"/>
      <c r="E35" s="141" t="n"/>
      <c r="F35" s="141" t="n"/>
      <c r="G35" s="141" t="n"/>
      <c r="H35" s="141" t="n"/>
      <c r="I35" s="141" t="n"/>
      <c r="J35" s="148">
        <f>SUM(C34:I34)</f>
        <v/>
      </c>
    </row>
    <row r="36" ht="16.5" customHeight="1" s="77" thickBot="1">
      <c r="A36" s="105" t="n"/>
      <c r="B36" s="95" t="inlineStr">
        <is>
          <t>뇌출혈진단비</t>
        </is>
      </c>
      <c r="C36" s="149" t="n"/>
      <c r="D36" s="149" t="n"/>
      <c r="E36" s="149" t="n"/>
      <c r="F36" s="149" t="n"/>
      <c r="G36" s="149" t="n"/>
      <c r="H36" s="149" t="n"/>
      <c r="I36" s="149" t="n"/>
      <c r="J36" s="150">
        <f>SUM(C35:I35)</f>
        <v/>
      </c>
    </row>
    <row r="37" ht="16.5" customHeight="1" s="77">
      <c r="A37" s="105" t="n"/>
      <c r="B37" s="98" t="inlineStr">
        <is>
          <t>중대한 뇌출혈</t>
        </is>
      </c>
      <c r="C37" s="151" t="n"/>
      <c r="D37" s="151" t="n"/>
      <c r="E37" s="151" t="n"/>
      <c r="F37" s="151" t="n"/>
      <c r="G37" s="151" t="n"/>
      <c r="H37" s="151" t="n"/>
      <c r="I37" s="151" t="n"/>
      <c r="J37" s="152">
        <f>SUM(C36:I36)</f>
        <v/>
      </c>
    </row>
    <row r="38" ht="16.5" customHeight="1" s="77">
      <c r="A38" s="105" t="n"/>
      <c r="B38" s="52" t="inlineStr">
        <is>
          <t>외상성뇌출혈</t>
        </is>
      </c>
      <c r="C38" s="153" t="n"/>
      <c r="D38" s="153" t="n"/>
      <c r="E38" s="153" t="n"/>
      <c r="F38" s="153" t="n"/>
      <c r="G38" s="153" t="n"/>
      <c r="H38" s="153" t="n"/>
      <c r="I38" s="153" t="n"/>
      <c r="J38" s="129">
        <f>SUM(C36:I36)</f>
        <v/>
      </c>
    </row>
    <row r="39" ht="16.5" customHeight="1" s="77">
      <c r="A39" s="105" t="n"/>
      <c r="B39" s="54" t="inlineStr">
        <is>
          <t>산정특례뇌혈관</t>
        </is>
      </c>
      <c r="C39" s="154" t="n"/>
      <c r="D39" s="154" t="n"/>
      <c r="E39" s="154" t="n"/>
      <c r="F39" s="154" t="n"/>
      <c r="G39" s="154" t="n"/>
      <c r="H39" s="154" t="n"/>
      <c r="I39" s="154" t="n"/>
      <c r="J39" s="135">
        <f>SUM(C37:I37)</f>
        <v/>
      </c>
    </row>
    <row r="40" ht="16.5" customHeight="1" s="77" thickBot="1">
      <c r="A40" s="105" t="n"/>
      <c r="B40" s="54" t="inlineStr">
        <is>
          <t>2대 주요치료비</t>
        </is>
      </c>
      <c r="C40" s="154" t="n"/>
      <c r="D40" s="154" t="n"/>
      <c r="E40" s="154" t="n"/>
      <c r="F40" s="154" t="n"/>
      <c r="G40" s="154" t="n"/>
      <c r="H40" s="154" t="n"/>
      <c r="I40" s="154" t="n"/>
      <c r="J40" s="135">
        <f>SUM(C38:I38)</f>
        <v/>
      </c>
    </row>
    <row r="41" ht="16.5" customHeight="1" s="77" thickBot="1">
      <c r="A41" s="106" t="n"/>
      <c r="B41" s="56" t="inlineStr">
        <is>
          <t>혈전용해치료비</t>
        </is>
      </c>
      <c r="C41" s="130" t="n"/>
      <c r="D41" s="130" t="n"/>
      <c r="E41" s="130" t="n"/>
      <c r="F41" s="130" t="n"/>
      <c r="G41" s="130" t="n"/>
      <c r="H41" s="130" t="n"/>
      <c r="I41" s="130" t="n"/>
      <c r="J41" s="131">
        <f>SUM(C38:I38)</f>
        <v/>
      </c>
    </row>
    <row r="42" ht="16.5" customHeight="1" s="77">
      <c r="A42" s="104" t="inlineStr">
        <is>
          <t>심장</t>
        </is>
      </c>
      <c r="B42" s="28" t="inlineStr">
        <is>
          <t>협심증</t>
        </is>
      </c>
      <c r="C42" s="115" t="n"/>
      <c r="D42" s="115" t="n"/>
      <c r="E42" s="115" t="n"/>
      <c r="F42" s="115" t="n"/>
      <c r="G42" s="115" t="n"/>
      <c r="H42" s="115" t="n"/>
      <c r="I42" s="115" t="n"/>
      <c r="J42" s="133">
        <f>SUM(C39:I39)</f>
        <v/>
      </c>
    </row>
    <row r="43" ht="16.5" customHeight="1" s="77">
      <c r="A43" s="105" t="n"/>
      <c r="B43" s="31" t="inlineStr">
        <is>
          <t>심부전</t>
        </is>
      </c>
      <c r="C43" s="145" t="n"/>
      <c r="D43" s="145" t="n"/>
      <c r="E43" s="145" t="n"/>
      <c r="F43" s="145" t="n"/>
      <c r="G43" s="145" t="n"/>
      <c r="H43" s="145" t="n"/>
      <c r="I43" s="145" t="n"/>
      <c r="J43" s="135">
        <f>SUM(C40:I40)</f>
        <v/>
      </c>
    </row>
    <row r="44" ht="17.25" customHeight="1" s="77">
      <c r="A44" s="105" t="n"/>
      <c r="B44" s="31" t="inlineStr">
        <is>
          <t>빈맥</t>
        </is>
      </c>
      <c r="C44" s="145" t="n"/>
      <c r="D44" s="145" t="n"/>
      <c r="E44" s="145" t="n"/>
      <c r="F44" s="145" t="n"/>
      <c r="G44" s="145" t="n"/>
      <c r="H44" s="145" t="n"/>
      <c r="I44" s="145" t="n"/>
      <c r="J44" s="135" t="n"/>
    </row>
    <row r="45" ht="16.5" customHeight="1" s="77">
      <c r="A45" s="105" t="n"/>
      <c r="B45" s="31" t="inlineStr">
        <is>
          <t>염증</t>
        </is>
      </c>
      <c r="C45" s="145" t="n"/>
      <c r="D45" s="145" t="n"/>
      <c r="E45" s="145" t="n"/>
      <c r="F45" s="145" t="n"/>
      <c r="G45" s="145" t="n"/>
      <c r="H45" s="145" t="n"/>
      <c r="I45" s="145" t="n"/>
      <c r="J45" s="135">
        <f>SUM(C41:I41)</f>
        <v/>
      </c>
    </row>
    <row r="46" ht="16.5" customHeight="1" s="77">
      <c r="A46" s="105" t="n"/>
      <c r="B46" s="40" t="inlineStr">
        <is>
          <t>부정맥</t>
        </is>
      </c>
      <c r="C46" s="155" t="n"/>
      <c r="D46" s="155" t="n"/>
      <c r="E46" s="155" t="n"/>
      <c r="F46" s="155" t="n"/>
      <c r="G46" s="155" t="n"/>
      <c r="H46" s="155" t="n"/>
      <c r="I46" s="155" t="n"/>
      <c r="J46" s="135">
        <f>SUM(C42:I42)</f>
        <v/>
      </c>
    </row>
    <row r="47" ht="17.25" customHeight="1" s="77">
      <c r="A47" s="105" t="n"/>
      <c r="B47" s="58" t="inlineStr">
        <is>
          <t>심근병증</t>
        </is>
      </c>
      <c r="C47" s="89" t="n"/>
      <c r="D47" s="89" t="n"/>
      <c r="E47" s="89" t="n"/>
      <c r="F47" s="89" t="n"/>
      <c r="G47" s="89" t="n"/>
      <c r="H47" s="89" t="n"/>
      <c r="I47" s="89" t="n"/>
      <c r="J47" s="91" t="n"/>
    </row>
    <row r="48" ht="17.25" customHeight="1" s="77" thickBot="1">
      <c r="A48" s="105" t="n"/>
      <c r="B48" s="40" t="inlineStr">
        <is>
          <t>심장판막</t>
        </is>
      </c>
      <c r="C48" s="90" t="n"/>
      <c r="D48" s="89" t="n"/>
      <c r="E48" s="89" t="n"/>
      <c r="F48" s="89" t="n"/>
      <c r="G48" s="89" t="n"/>
      <c r="H48" s="89" t="n"/>
      <c r="I48" s="89" t="n"/>
      <c r="J48" s="91" t="n"/>
    </row>
    <row r="49" ht="16.5" customHeight="1" s="77">
      <c r="A49" s="105" t="n"/>
      <c r="B49" s="81" t="inlineStr">
        <is>
          <t>허혈성 진단비</t>
        </is>
      </c>
      <c r="C49" s="128" t="n"/>
      <c r="D49" s="128" t="n"/>
      <c r="E49" s="128" t="n"/>
      <c r="F49" s="128" t="n"/>
      <c r="G49" s="128" t="n"/>
      <c r="H49" s="128" t="n"/>
      <c r="I49" s="128" t="n"/>
      <c r="J49" s="135">
        <f>SUM(C45:I45)</f>
        <v/>
      </c>
    </row>
    <row r="50" ht="16.5" customHeight="1" s="77" thickBot="1">
      <c r="A50" s="105" t="n"/>
      <c r="B50" s="13" t="inlineStr">
        <is>
          <t>급성심근경색</t>
        </is>
      </c>
      <c r="C50" s="138" t="n"/>
      <c r="D50" s="138" t="n"/>
      <c r="E50" s="138" t="n"/>
      <c r="F50" s="138" t="n"/>
      <c r="G50" s="138" t="n"/>
      <c r="H50" s="138" t="n"/>
      <c r="I50" s="138" t="n"/>
      <c r="J50" s="123">
        <f>SUM(C45:I45)</f>
        <v/>
      </c>
    </row>
    <row r="51" ht="16.5" customHeight="1" s="77">
      <c r="A51" s="105" t="n"/>
      <c r="B51" s="16" t="inlineStr">
        <is>
          <t>중대한 급성심근</t>
        </is>
      </c>
      <c r="C51" s="124" t="n"/>
      <c r="D51" s="124" t="n"/>
      <c r="E51" s="124" t="n"/>
      <c r="F51" s="124" t="n"/>
      <c r="G51" s="124" t="n"/>
      <c r="H51" s="124" t="n"/>
      <c r="I51" s="124" t="n"/>
      <c r="J51" s="148">
        <f>SUM(C47:I47)</f>
        <v/>
      </c>
    </row>
    <row r="52" ht="16.5" customHeight="1" s="77">
      <c r="A52" s="105" t="n"/>
      <c r="B52" s="54" t="inlineStr">
        <is>
          <t>2대 주요치료비</t>
        </is>
      </c>
      <c r="C52" s="154" t="n"/>
      <c r="D52" s="154" t="n"/>
      <c r="E52" s="154" t="n"/>
      <c r="F52" s="154" t="n"/>
      <c r="G52" s="154" t="n"/>
      <c r="H52" s="154" t="n"/>
      <c r="I52" s="154" t="n"/>
      <c r="J52" s="135">
        <f>SUM(C50:I50)</f>
        <v/>
      </c>
    </row>
    <row r="53" ht="16.5" customHeight="1" s="77" thickBot="1">
      <c r="A53" s="105" t="n"/>
      <c r="B53" s="101" t="inlineStr">
        <is>
          <t>산정특례심장</t>
        </is>
      </c>
      <c r="C53" s="145" t="n"/>
      <c r="D53" s="145" t="n"/>
      <c r="E53" s="145" t="n"/>
      <c r="F53" s="145" t="n"/>
      <c r="G53" s="145" t="n"/>
      <c r="H53" s="145" t="n"/>
      <c r="I53" s="145" t="n"/>
      <c r="J53" s="135">
        <f>SUM(C51:I51)</f>
        <v/>
      </c>
    </row>
    <row r="54" ht="16.5" customHeight="1" s="77" thickBot="1">
      <c r="A54" s="106" t="n"/>
      <c r="B54" s="62" t="inlineStr">
        <is>
          <t>혈전용해치료비</t>
        </is>
      </c>
      <c r="C54" s="126" t="n"/>
      <c r="D54" s="126" t="n"/>
      <c r="E54" s="126" t="n"/>
      <c r="F54" s="126" t="n"/>
      <c r="G54" s="126" t="n"/>
      <c r="H54" s="126" t="n"/>
      <c r="I54" s="126" t="n"/>
      <c r="J54" s="127">
        <f>SUM(C48:I48)</f>
        <v/>
      </c>
    </row>
    <row r="55" ht="16.5" customHeight="1" s="77">
      <c r="A55" s="104" t="inlineStr">
        <is>
          <t>일당</t>
        </is>
      </c>
      <c r="B55" s="109" t="inlineStr">
        <is>
          <t>질병일당</t>
        </is>
      </c>
      <c r="C55" s="132" t="n"/>
      <c r="D55" s="132" t="n"/>
      <c r="E55" s="132" t="n"/>
      <c r="F55" s="132" t="n"/>
      <c r="G55" s="132" t="n"/>
      <c r="H55" s="132" t="n"/>
      <c r="I55" s="132" t="n"/>
      <c r="J55" s="133">
        <f>SUM(#REF!)</f>
        <v/>
      </c>
    </row>
    <row r="56" ht="16.5" customHeight="1" s="77">
      <c r="A56" s="105" t="n"/>
      <c r="B56" s="63" t="inlineStr">
        <is>
          <t>질병수술일당</t>
        </is>
      </c>
      <c r="C56" s="155" t="n"/>
      <c r="D56" s="155" t="n"/>
      <c r="E56" s="155" t="n"/>
      <c r="F56" s="155" t="n"/>
      <c r="G56" s="155" t="n"/>
      <c r="H56" s="155" t="n"/>
      <c r="I56" s="155" t="n"/>
      <c r="J56" s="135">
        <f>SUM(#REF!)</f>
        <v/>
      </c>
    </row>
    <row r="57" ht="16.5" customHeight="1" s="77">
      <c r="A57" s="105" t="n"/>
      <c r="B57" s="63" t="inlineStr">
        <is>
          <t>종합병원 질병입원일당</t>
        </is>
      </c>
      <c r="C57" s="155" t="n"/>
      <c r="D57" s="155" t="n"/>
      <c r="E57" s="155" t="n"/>
      <c r="F57" s="155" t="n"/>
      <c r="G57" s="155" t="n"/>
      <c r="H57" s="155" t="n"/>
      <c r="I57" s="155" t="n"/>
      <c r="J57" s="135">
        <f>SUM(C49:I49)</f>
        <v/>
      </c>
    </row>
    <row r="58" ht="16.5" customHeight="1" s="77">
      <c r="A58" s="105" t="n"/>
      <c r="B58" s="63" t="inlineStr">
        <is>
          <t>종합병원 상해입원일당</t>
        </is>
      </c>
      <c r="C58" s="155" t="n"/>
      <c r="D58" s="155" t="n"/>
      <c r="E58" s="155" t="n"/>
      <c r="F58" s="155" t="n"/>
      <c r="G58" s="155" t="n"/>
      <c r="H58" s="155" t="n"/>
      <c r="I58" s="155" t="n"/>
      <c r="J58" s="135" t="n"/>
    </row>
    <row r="59" ht="16.5" customHeight="1" s="77">
      <c r="A59" s="105" t="n"/>
      <c r="B59" s="58" t="inlineStr">
        <is>
          <t>상해일당</t>
        </is>
      </c>
      <c r="C59" s="134" t="n"/>
      <c r="D59" s="134" t="n"/>
      <c r="E59" s="134" t="n"/>
      <c r="F59" s="134" t="n"/>
      <c r="G59" s="134" t="n"/>
      <c r="H59" s="134" t="n"/>
      <c r="I59" s="134" t="n"/>
      <c r="J59" s="135">
        <f>SUM(C50:I50)</f>
        <v/>
      </c>
    </row>
    <row r="60" ht="16.5" customHeight="1" s="77">
      <c r="A60" s="105" t="n"/>
      <c r="B60" s="58" t="inlineStr">
        <is>
          <t>상해수술일당</t>
        </is>
      </c>
      <c r="C60" s="134" t="n"/>
      <c r="D60" s="134" t="n"/>
      <c r="E60" s="134" t="n"/>
      <c r="F60" s="134" t="n"/>
      <c r="G60" s="134" t="n"/>
      <c r="H60" s="134" t="n"/>
      <c r="I60" s="134" t="n"/>
      <c r="J60" s="135" t="n"/>
    </row>
    <row r="61" ht="16.5" customHeight="1" s="77">
      <c r="A61" s="105" t="n"/>
      <c r="B61" s="31" t="inlineStr">
        <is>
          <t>간병인</t>
        </is>
      </c>
      <c r="C61" s="134" t="n"/>
      <c r="D61" s="134" t="n"/>
      <c r="E61" s="134" t="n"/>
      <c r="F61" s="134" t="n"/>
      <c r="G61" s="134" t="n"/>
      <c r="H61" s="134" t="n"/>
      <c r="I61" s="134" t="n"/>
      <c r="J61" s="135">
        <f>SUM(C51:I51)</f>
        <v/>
      </c>
    </row>
    <row r="62" ht="16.5" customHeight="1" s="77">
      <c r="A62" s="105" t="n"/>
      <c r="B62" s="31" t="inlineStr">
        <is>
          <t>간병인지원일당</t>
        </is>
      </c>
      <c r="C62" s="134" t="n"/>
      <c r="D62" s="134" t="n"/>
      <c r="E62" s="134" t="n"/>
      <c r="F62" s="134" t="n"/>
      <c r="G62" s="134" t="n"/>
      <c r="H62" s="134" t="n"/>
      <c r="I62" s="134" t="n"/>
      <c r="J62" s="135" t="n"/>
    </row>
    <row r="63" ht="16.5" customHeight="1" s="77">
      <c r="A63" s="105" t="n"/>
      <c r="B63" s="31" t="inlineStr">
        <is>
          <t>간호통합병동</t>
        </is>
      </c>
      <c r="C63" s="134" t="n"/>
      <c r="D63" s="134" t="n"/>
      <c r="E63" s="134" t="n"/>
      <c r="F63" s="134" t="n"/>
      <c r="G63" s="134" t="n"/>
      <c r="H63" s="134" t="n"/>
      <c r="I63" s="134" t="n"/>
      <c r="J63" s="135">
        <f>SUM(C54:I54)</f>
        <v/>
      </c>
    </row>
    <row r="64" ht="16.5" customHeight="1" s="77">
      <c r="A64" s="105" t="n"/>
      <c r="B64" s="64" t="inlineStr">
        <is>
          <t>1인실 종합병원</t>
        </is>
      </c>
      <c r="C64" s="134" t="n"/>
      <c r="D64" s="134" t="n"/>
      <c r="E64" s="134" t="n"/>
      <c r="F64" s="134" t="n"/>
      <c r="G64" s="134" t="n"/>
      <c r="H64" s="134" t="n"/>
      <c r="I64" s="134" t="n"/>
      <c r="J64" s="135">
        <f>SUM(C55:I55)</f>
        <v/>
      </c>
    </row>
    <row r="65" ht="17.25" customHeight="1" s="77">
      <c r="A65" s="105" t="n"/>
      <c r="B65" s="64" t="inlineStr">
        <is>
          <t>1인실 상급병원</t>
        </is>
      </c>
      <c r="C65" s="134" t="n"/>
      <c r="D65" s="134" t="n"/>
      <c r="E65" s="134" t="n"/>
      <c r="F65" s="134" t="n"/>
      <c r="G65" s="134" t="n"/>
      <c r="H65" s="134" t="n"/>
      <c r="I65" s="134" t="n"/>
      <c r="J65" s="135">
        <f>SUM(C56:I56)</f>
        <v/>
      </c>
    </row>
    <row r="66" ht="17.25" customHeight="1" s="77" thickBot="1">
      <c r="A66" s="105" t="n"/>
      <c r="B66" s="31" t="inlineStr">
        <is>
          <t>질병중환자실</t>
        </is>
      </c>
      <c r="C66" s="134" t="n"/>
      <c r="D66" s="134" t="n"/>
      <c r="E66" s="134" t="n"/>
      <c r="F66" s="134" t="n"/>
      <c r="G66" s="134" t="n"/>
      <c r="H66" s="134" t="n"/>
      <c r="I66" s="134" t="n"/>
      <c r="J66" s="135">
        <f>SUM(C57:I57)</f>
        <v/>
      </c>
    </row>
    <row r="67" ht="16.5" customHeight="1" s="77">
      <c r="A67" s="106" t="n"/>
      <c r="B67" s="25" t="inlineStr">
        <is>
          <t>상해중환자실</t>
        </is>
      </c>
      <c r="C67" s="130" t="n"/>
      <c r="D67" s="130" t="n"/>
      <c r="E67" s="130" t="n"/>
      <c r="F67" s="130" t="n"/>
      <c r="G67" s="130" t="n"/>
      <c r="H67" s="130" t="n"/>
      <c r="I67" s="130" t="n"/>
      <c r="J67" s="131">
        <f>SUM(C58:I58)</f>
        <v/>
      </c>
    </row>
    <row r="68" ht="16.5" customHeight="1" s="77">
      <c r="A68" s="104" t="inlineStr">
        <is>
          <t>수술</t>
        </is>
      </c>
      <c r="B68" s="109" t="inlineStr">
        <is>
          <t>상해수술비</t>
        </is>
      </c>
      <c r="C68" s="132" t="n"/>
      <c r="D68" s="132" t="n"/>
      <c r="E68" s="132" t="n"/>
      <c r="F68" s="132" t="n"/>
      <c r="G68" s="132" t="n"/>
      <c r="H68" s="132" t="n"/>
      <c r="I68" s="132" t="n"/>
      <c r="J68" s="133">
        <f>SUM(C59:I59)</f>
        <v/>
      </c>
    </row>
    <row r="69" ht="16.5" customHeight="1" s="77">
      <c r="A69" s="105" t="n"/>
      <c r="B69" s="63" t="inlineStr">
        <is>
          <t>중대한상해수술비</t>
        </is>
      </c>
      <c r="C69" s="155" t="n"/>
      <c r="D69" s="155" t="n"/>
      <c r="E69" s="155" t="n"/>
      <c r="F69" s="155" t="n"/>
      <c r="G69" s="155" t="n"/>
      <c r="H69" s="155" t="n"/>
      <c r="I69" s="155" t="n"/>
      <c r="J69" s="135">
        <f>SUM(C60:I60)</f>
        <v/>
      </c>
    </row>
    <row r="70" ht="16.5" customHeight="1" s="77">
      <c r="A70" s="105" t="n"/>
      <c r="B70" s="58" t="inlineStr">
        <is>
          <t>상해 종수술비(1-3종)</t>
        </is>
      </c>
      <c r="C70" s="155" t="n"/>
      <c r="D70" s="155" t="n"/>
      <c r="E70" s="155" t="n"/>
      <c r="F70" s="156" t="n"/>
      <c r="G70" s="155" t="n"/>
      <c r="H70" s="155" t="n"/>
      <c r="I70" s="155" t="n"/>
      <c r="J70" s="135" t="n"/>
    </row>
    <row r="71" ht="17.25" customHeight="1" s="77">
      <c r="A71" s="105" t="n"/>
      <c r="B71" s="58" t="inlineStr">
        <is>
          <t>상해 종수술비(1-5종)</t>
        </is>
      </c>
      <c r="C71" s="155" t="n"/>
      <c r="D71" s="155" t="n"/>
      <c r="E71" s="155" t="n"/>
      <c r="F71" s="156" t="n"/>
      <c r="G71" s="155" t="n"/>
      <c r="H71" s="155" t="n"/>
      <c r="I71" s="155" t="n"/>
      <c r="J71" s="135" t="inlineStr">
        <is>
          <t>/ / / / /</t>
        </is>
      </c>
    </row>
    <row r="72" ht="16.5" customHeight="1" s="77">
      <c r="A72" s="105" t="n"/>
      <c r="B72" s="58" t="inlineStr">
        <is>
          <t>상해 종수술비(1-8종)</t>
        </is>
      </c>
      <c r="C72" s="155" t="n"/>
      <c r="D72" s="155" t="n"/>
      <c r="E72" s="155" t="n"/>
      <c r="F72" s="156" t="n"/>
      <c r="G72" s="155" t="n"/>
      <c r="H72" s="155" t="n"/>
      <c r="I72" s="155" t="n"/>
      <c r="J72" s="135" t="n"/>
    </row>
    <row r="73" ht="16.5" customHeight="1" s="77">
      <c r="A73" s="105" t="n"/>
      <c r="B73" s="58" t="inlineStr">
        <is>
          <t>창상봉합술</t>
        </is>
      </c>
      <c r="C73" s="134" t="n"/>
      <c r="D73" s="134" t="n"/>
      <c r="E73" s="134" t="n"/>
      <c r="F73" s="157" t="n"/>
      <c r="G73" s="134" t="n"/>
      <c r="H73" s="134" t="n"/>
      <c r="I73" s="134" t="n"/>
      <c r="J73" s="135">
        <f>SUM(C62:I62)</f>
        <v/>
      </c>
    </row>
    <row r="74" ht="16.5" customHeight="1" s="77">
      <c r="A74" s="105" t="n"/>
      <c r="B74" s="58" t="inlineStr">
        <is>
          <t>골절수술비</t>
        </is>
      </c>
      <c r="C74" s="134" t="n"/>
      <c r="D74" s="134" t="n"/>
      <c r="E74" s="134" t="n"/>
      <c r="F74" s="157" t="n"/>
      <c r="G74" s="134" t="n"/>
      <c r="H74" s="134" t="n"/>
      <c r="I74" s="134" t="n"/>
      <c r="J74" s="135">
        <f>SUM(C63:I63)</f>
        <v/>
      </c>
    </row>
    <row r="75" ht="16.5" customHeight="1" s="77" thickBot="1">
      <c r="A75" s="105" t="n"/>
      <c r="B75" s="65" t="inlineStr">
        <is>
          <t>5대골절수술비</t>
        </is>
      </c>
      <c r="C75" s="134" t="n"/>
      <c r="D75" s="134" t="n"/>
      <c r="E75" s="134" t="n"/>
      <c r="F75" s="157" t="n"/>
      <c r="G75" s="134" t="n"/>
      <c r="H75" s="134" t="n"/>
      <c r="I75" s="134" t="n"/>
      <c r="J75" s="135">
        <f>SUM(C64:I64)</f>
        <v/>
      </c>
    </row>
    <row r="76" ht="16.5" customHeight="1" s="77">
      <c r="A76" s="105" t="n"/>
      <c r="B76" s="56" t="inlineStr">
        <is>
          <t>화상수술비</t>
        </is>
      </c>
      <c r="C76" s="130" t="n"/>
      <c r="D76" s="130" t="n"/>
      <c r="E76" s="130" t="n"/>
      <c r="F76" s="158" t="n"/>
      <c r="G76" s="130" t="n"/>
      <c r="H76" s="130" t="n"/>
      <c r="I76" s="130" t="n"/>
      <c r="J76" s="131">
        <f>SUM(C65:I65)</f>
        <v/>
      </c>
    </row>
    <row r="77" ht="16.5" customHeight="1" s="77">
      <c r="A77" s="105" t="n"/>
      <c r="B77" s="63" t="inlineStr">
        <is>
          <t>질병수술비</t>
        </is>
      </c>
      <c r="C77" s="155" t="n"/>
      <c r="D77" s="155" t="n"/>
      <c r="E77" s="155" t="n"/>
      <c r="F77" s="159" t="n"/>
      <c r="G77" s="155" t="n"/>
      <c r="H77" s="155" t="n"/>
      <c r="I77" s="160" t="n"/>
      <c r="J77" s="129">
        <f>SUM(C66:I66)</f>
        <v/>
      </c>
    </row>
    <row r="78" ht="16.5" customHeight="1" s="77">
      <c r="A78" s="105" t="n"/>
      <c r="B78" s="58" t="inlineStr">
        <is>
          <t>질병 종수술비(1-3종)</t>
        </is>
      </c>
      <c r="C78" s="134" t="n"/>
      <c r="D78" s="134" t="n"/>
      <c r="E78" s="134" t="n"/>
      <c r="F78" s="161" t="n"/>
      <c r="G78" s="134" t="n"/>
      <c r="H78" s="134" t="n"/>
      <c r="I78" s="134" t="n"/>
      <c r="J78" s="135" t="n"/>
    </row>
    <row r="79" ht="17.25" customHeight="1" s="77">
      <c r="A79" s="105" t="n"/>
      <c r="B79" s="58" t="inlineStr">
        <is>
          <t>질병 종수술비(1-5종)</t>
        </is>
      </c>
      <c r="C79" s="134" t="n"/>
      <c r="D79" s="134" t="n"/>
      <c r="E79" s="134" t="n"/>
      <c r="F79" s="161" t="n"/>
      <c r="G79" s="134" t="n"/>
      <c r="H79" s="134" t="n"/>
      <c r="I79" s="134" t="n"/>
      <c r="J79" s="135" t="inlineStr">
        <is>
          <t>/ / / / /</t>
        </is>
      </c>
    </row>
    <row r="80" ht="16.5" customHeight="1" s="77">
      <c r="A80" s="105" t="n"/>
      <c r="B80" s="58" t="inlineStr">
        <is>
          <t>질병 종수술비(1-8종)</t>
        </is>
      </c>
      <c r="C80" s="134" t="n"/>
      <c r="D80" s="134" t="n"/>
      <c r="E80" s="134" t="n"/>
      <c r="F80" s="161" t="n"/>
      <c r="G80" s="134" t="n"/>
      <c r="H80" s="134" t="n"/>
      <c r="I80" s="134" t="n"/>
      <c r="J80" s="135" t="n"/>
    </row>
    <row r="81" ht="16.5" customHeight="1" s="77">
      <c r="A81" s="105" t="n"/>
      <c r="B81" s="67" t="inlineStr">
        <is>
          <t>뇌혈관수술비</t>
        </is>
      </c>
      <c r="C81" s="162" t="n"/>
      <c r="D81" s="162" t="n"/>
      <c r="E81" s="162" t="n"/>
      <c r="F81" s="162" t="n"/>
      <c r="G81" s="162" t="n"/>
      <c r="H81" s="162" t="n"/>
      <c r="I81" s="162" t="n"/>
      <c r="J81" s="135">
        <f>SUM(C68:I68)</f>
        <v/>
      </c>
    </row>
    <row r="82" ht="17.25" customHeight="1" s="77">
      <c r="A82" s="105" t="n"/>
      <c r="B82" s="67" t="inlineStr">
        <is>
          <t>허혈성수술비</t>
        </is>
      </c>
      <c r="C82" s="162" t="n"/>
      <c r="D82" s="162" t="n"/>
      <c r="E82" s="162" t="n"/>
      <c r="F82" s="162" t="n"/>
      <c r="G82" s="162" t="n"/>
      <c r="H82" s="162" t="n"/>
      <c r="I82" s="162" t="n"/>
      <c r="J82" s="135">
        <f>SUM(C69:I69)</f>
        <v/>
      </c>
    </row>
    <row r="83" ht="17.25" customHeight="1" s="77" thickBot="1">
      <c r="A83" s="105" t="n"/>
      <c r="B83" s="67" t="inlineStr">
        <is>
          <t>심장수술비</t>
        </is>
      </c>
      <c r="C83" s="162" t="n"/>
      <c r="D83" s="162" t="n"/>
      <c r="E83" s="162" t="n"/>
      <c r="F83" s="162" t="n"/>
      <c r="G83" s="162" t="n"/>
      <c r="H83" s="162" t="n"/>
      <c r="I83" s="162" t="n"/>
      <c r="J83" s="135">
        <f>SUM(C70:I70)</f>
        <v/>
      </c>
    </row>
    <row r="84" ht="17.25" customHeight="1" s="77">
      <c r="A84" s="105" t="n"/>
      <c r="B84" s="59" t="inlineStr">
        <is>
          <t>n대수술비</t>
        </is>
      </c>
      <c r="C84" s="162" t="n"/>
      <c r="D84" s="162" t="n"/>
      <c r="E84" s="162" t="n"/>
      <c r="F84" s="162" t="n"/>
      <c r="G84" s="162" t="n"/>
      <c r="H84" s="162" t="n"/>
      <c r="I84" s="162" t="n"/>
      <c r="J84" s="163">
        <f>SUM(C71:I71)</f>
        <v/>
      </c>
    </row>
    <row r="85" ht="16.5" customHeight="1" s="77" thickBot="1">
      <c r="A85" s="105" t="n"/>
      <c r="B85" s="68" t="inlineStr">
        <is>
          <t>5대기관 수술비 관혈</t>
        </is>
      </c>
      <c r="C85" s="136" t="n"/>
      <c r="D85" s="136" t="n"/>
      <c r="E85" s="136" t="n"/>
      <c r="F85" s="136" t="n"/>
      <c r="G85" s="136" t="n"/>
      <c r="H85" s="136" t="n"/>
      <c r="I85" s="136" t="n"/>
      <c r="J85" s="133">
        <f>SUM(C72:I72)</f>
        <v/>
      </c>
    </row>
    <row r="86" ht="17.25" customHeight="1" s="77" thickBot="1">
      <c r="A86" s="106" t="n"/>
      <c r="B86" s="69" t="inlineStr">
        <is>
          <t>5대기관 수술비 비관혈</t>
        </is>
      </c>
      <c r="C86" s="130" t="n"/>
      <c r="D86" s="130" t="n"/>
      <c r="E86" s="130" t="n"/>
      <c r="F86" s="130" t="n"/>
      <c r="G86" s="130" t="n"/>
      <c r="H86" s="130" t="n"/>
      <c r="I86" s="130" t="n"/>
      <c r="J86" s="131">
        <f>SUM(C73:I73)</f>
        <v/>
      </c>
    </row>
    <row r="87" ht="16.5" customHeight="1" s="77">
      <c r="A87" s="104" t="inlineStr">
        <is>
          <t>운전</t>
        </is>
      </c>
      <c r="B87" s="28" t="inlineStr">
        <is>
          <t>대인</t>
        </is>
      </c>
      <c r="C87" s="115" t="n"/>
      <c r="D87" s="115" t="n"/>
      <c r="E87" s="115" t="n"/>
      <c r="F87" s="115" t="n"/>
      <c r="G87" s="115" t="n"/>
      <c r="H87" s="115" t="n"/>
      <c r="I87" s="115" t="n"/>
      <c r="J87" s="133">
        <f>SUM(C74:I74)</f>
        <v/>
      </c>
    </row>
    <row r="88" ht="17.25" customHeight="1" s="77">
      <c r="A88" s="105" t="n"/>
      <c r="B88" s="31" t="inlineStr">
        <is>
          <t>대물</t>
        </is>
      </c>
      <c r="C88" s="145" t="n"/>
      <c r="D88" s="145" t="n"/>
      <c r="E88" s="145" t="n"/>
      <c r="F88" s="145" t="n"/>
      <c r="G88" s="145" t="n"/>
      <c r="H88" s="145" t="n"/>
      <c r="I88" s="145" t="n"/>
      <c r="J88" s="135">
        <f>SUM(C75:I75)</f>
        <v/>
      </c>
    </row>
    <row r="89" ht="16.5" customHeight="1" s="77">
      <c r="A89" s="105" t="n"/>
      <c r="B89" s="31" t="inlineStr">
        <is>
          <t>합의금</t>
        </is>
      </c>
      <c r="C89" s="145" t="n"/>
      <c r="D89" s="145" t="n"/>
      <c r="E89" s="145" t="n"/>
      <c r="F89" s="145" t="n"/>
      <c r="G89" s="145" t="n"/>
      <c r="H89" s="145" t="n"/>
      <c r="I89" s="145" t="n"/>
      <c r="J89" s="135">
        <f>SUM(C76:I76)</f>
        <v/>
      </c>
    </row>
    <row r="90" ht="16.5" customHeight="1" s="77">
      <c r="A90" s="105" t="n"/>
      <c r="B90" s="64" t="inlineStr">
        <is>
          <t>6주미만</t>
        </is>
      </c>
      <c r="C90" s="145" t="n"/>
      <c r="D90" s="145" t="n"/>
      <c r="E90" s="145" t="n"/>
      <c r="F90" s="145" t="n"/>
      <c r="G90" s="145" t="n"/>
      <c r="H90" s="145" t="n"/>
      <c r="I90" s="145" t="n"/>
      <c r="J90" s="135">
        <f>SUM(C77:I77)</f>
        <v/>
      </c>
    </row>
    <row r="91" ht="17.25" customHeight="1" s="77">
      <c r="A91" s="105" t="n"/>
      <c r="B91" s="31" t="inlineStr">
        <is>
          <t>변호사</t>
        </is>
      </c>
      <c r="C91" s="145" t="n"/>
      <c r="D91" s="145" t="n"/>
      <c r="E91" s="145" t="n"/>
      <c r="F91" s="145" t="n"/>
      <c r="G91" s="145" t="n"/>
      <c r="H91" s="145" t="n"/>
      <c r="I91" s="145" t="n"/>
      <c r="J91" s="135">
        <f>SUM(C78:I78)</f>
        <v/>
      </c>
    </row>
    <row r="92" ht="17.25" customHeight="1" s="77">
      <c r="A92" s="106" t="n"/>
      <c r="B92" s="25" t="inlineStr">
        <is>
          <t>자부상</t>
        </is>
      </c>
      <c r="C92" s="164" t="n"/>
      <c r="D92" s="164" t="n"/>
      <c r="E92" s="164" t="n"/>
      <c r="F92" s="164" t="n"/>
      <c r="G92" s="164" t="n"/>
      <c r="H92" s="164" t="n"/>
      <c r="I92" s="164" t="n"/>
      <c r="J92" s="131">
        <f>SUM(C79:I79)</f>
        <v/>
      </c>
    </row>
    <row r="93" ht="16.5" customHeight="1" s="77">
      <c r="A93" s="104" t="inlineStr">
        <is>
          <t>골절</t>
        </is>
      </c>
      <c r="B93" s="63" t="inlineStr">
        <is>
          <t>골절(치아파절포함)</t>
        </is>
      </c>
      <c r="C93" s="155" t="n"/>
      <c r="D93" s="155" t="n"/>
      <c r="E93" s="155" t="n"/>
      <c r="F93" s="155" t="n"/>
      <c r="G93" s="155" t="n"/>
      <c r="H93" s="155" t="n"/>
      <c r="I93" s="155" t="n"/>
      <c r="J93" s="129">
        <f>SUM(C80:I80)</f>
        <v/>
      </c>
    </row>
    <row r="94" ht="16.5" customHeight="1" s="77">
      <c r="A94" s="105" t="n"/>
      <c r="B94" s="58" t="inlineStr">
        <is>
          <t>골절(치아파절제외)</t>
        </is>
      </c>
      <c r="C94" s="134" t="n"/>
      <c r="D94" s="134" t="n"/>
      <c r="E94" s="134" t="n"/>
      <c r="F94" s="134" t="n"/>
      <c r="G94" s="134" t="n"/>
      <c r="H94" s="134" t="n"/>
      <c r="I94" s="134" t="n"/>
      <c r="J94" s="135">
        <f>SUM(C81:I81)</f>
        <v/>
      </c>
    </row>
    <row r="95" ht="16.5" customHeight="1" s="77">
      <c r="A95" s="106" t="n"/>
      <c r="B95" s="69" t="inlineStr">
        <is>
          <t>5대골절진단비</t>
        </is>
      </c>
      <c r="C95" s="130" t="n"/>
      <c r="D95" s="130" t="n"/>
      <c r="E95" s="130" t="n"/>
      <c r="F95" s="130" t="n"/>
      <c r="G95" s="130" t="n"/>
      <c r="H95" s="130" t="n"/>
      <c r="I95" s="130" t="n"/>
      <c r="J95" s="131">
        <f>SUM(C82:I82)</f>
        <v/>
      </c>
    </row>
    <row r="96" ht="16.5" customHeight="1" s="77">
      <c r="A96" s="104" t="inlineStr">
        <is>
          <t>응급실</t>
        </is>
      </c>
      <c r="B96" s="62" t="inlineStr">
        <is>
          <t>응급실(응급)</t>
        </is>
      </c>
      <c r="C96" s="126" t="n"/>
      <c r="D96" s="126" t="n"/>
      <c r="E96" s="126" t="n"/>
      <c r="F96" s="126" t="n"/>
      <c r="G96" s="126" t="n"/>
      <c r="H96" s="126" t="n"/>
      <c r="I96" s="126" t="n"/>
      <c r="J96" s="127">
        <f>SUM(C83:I83)</f>
        <v/>
      </c>
    </row>
    <row r="97" ht="16.5" customHeight="1" s="77">
      <c r="A97" s="104" t="inlineStr">
        <is>
          <t>독감</t>
        </is>
      </c>
      <c r="B97" s="34" t="inlineStr">
        <is>
          <t>독감</t>
        </is>
      </c>
      <c r="C97" s="136" t="n"/>
      <c r="D97" s="136" t="n"/>
      <c r="E97" s="136" t="n"/>
      <c r="F97" s="136" t="n"/>
      <c r="G97" s="136" t="n"/>
      <c r="H97" s="136" t="n"/>
      <c r="I97" s="136" t="n"/>
      <c r="J97" s="137" t="n"/>
    </row>
    <row r="98" ht="16.5" customHeight="1" s="77">
      <c r="A98" s="104" t="inlineStr">
        <is>
          <t>화상</t>
        </is>
      </c>
      <c r="B98" s="28" t="inlineStr">
        <is>
          <t>화상진단비</t>
        </is>
      </c>
      <c r="C98" s="132" t="n"/>
      <c r="D98" s="132" t="n"/>
      <c r="E98" s="132" t="n"/>
      <c r="F98" s="132" t="n"/>
      <c r="G98" s="132" t="n"/>
      <c r="H98" s="132" t="n"/>
      <c r="I98" s="132" t="n"/>
      <c r="J98" s="133">
        <f>SUM(C85:I85)</f>
        <v/>
      </c>
    </row>
    <row r="99" ht="16.5" customHeight="1" s="77">
      <c r="A99" s="106" t="n"/>
      <c r="B99" s="25" t="inlineStr">
        <is>
          <t>중증화상진단비</t>
        </is>
      </c>
      <c r="C99" s="130" t="n"/>
      <c r="D99" s="130" t="n"/>
      <c r="E99" s="130" t="n"/>
      <c r="F99" s="130" t="n"/>
      <c r="G99" s="130" t="n"/>
      <c r="H99" s="130" t="n"/>
      <c r="I99" s="130" t="n"/>
      <c r="J99" s="131">
        <f>SUM(C86:I86)</f>
        <v/>
      </c>
    </row>
    <row r="100" ht="16.5" customHeight="1" s="77">
      <c r="A100" s="104" t="inlineStr">
        <is>
          <t>깁스</t>
        </is>
      </c>
      <c r="B100" s="109" t="inlineStr">
        <is>
          <t>반깁스</t>
        </is>
      </c>
      <c r="C100" s="132" t="n"/>
      <c r="D100" s="132" t="n"/>
      <c r="E100" s="132" t="n"/>
      <c r="F100" s="132" t="n"/>
      <c r="G100" s="132" t="n"/>
      <c r="H100" s="132" t="n"/>
      <c r="I100" s="132" t="n"/>
      <c r="J100" s="133">
        <f>SUM(C87:I87)</f>
        <v/>
      </c>
    </row>
    <row r="101" ht="16.5" customHeight="1" s="77">
      <c r="A101" s="106" t="n"/>
      <c r="B101" s="56" t="inlineStr">
        <is>
          <t>깁스진단비</t>
        </is>
      </c>
      <c r="C101" s="130" t="n"/>
      <c r="D101" s="130" t="n"/>
      <c r="E101" s="130" t="n"/>
      <c r="F101" s="130" t="n"/>
      <c r="G101" s="130" t="n"/>
      <c r="H101" s="130" t="n"/>
      <c r="I101" s="130" t="n"/>
      <c r="J101" s="131">
        <f>SUM(C88:I88)</f>
        <v/>
      </c>
    </row>
    <row r="102" ht="16.5" customHeight="1" s="77">
      <c r="A102" s="104" t="inlineStr">
        <is>
          <t>실손</t>
        </is>
      </c>
      <c r="B102" s="109" t="inlineStr">
        <is>
          <t>입원</t>
        </is>
      </c>
      <c r="C102" s="165" t="n"/>
      <c r="D102" s="165" t="n"/>
      <c r="E102" s="165" t="n"/>
      <c r="F102" s="165" t="n"/>
      <c r="G102" s="165" t="n"/>
      <c r="H102" s="165" t="n"/>
      <c r="I102" s="165" t="n"/>
      <c r="J102" s="133">
        <f>SUM(C89:I89)</f>
        <v/>
      </c>
    </row>
    <row r="103" ht="16.5" customHeight="1" s="77">
      <c r="A103" s="105" t="n"/>
      <c r="B103" s="58" t="inlineStr">
        <is>
          <t>통원</t>
        </is>
      </c>
      <c r="C103" s="166" t="n"/>
      <c r="D103" s="166" t="n"/>
      <c r="E103" s="166" t="n"/>
      <c r="F103" s="166" t="n"/>
      <c r="G103" s="166" t="n"/>
      <c r="H103" s="166" t="n"/>
      <c r="I103" s="166" t="n"/>
      <c r="J103" s="135">
        <f>SUM(C90:I90)</f>
        <v/>
      </c>
    </row>
    <row r="104" ht="16.5" customHeight="1" s="77">
      <c r="A104" s="105" t="n"/>
      <c r="B104" s="58" t="inlineStr">
        <is>
          <t>약값</t>
        </is>
      </c>
      <c r="C104" s="134" t="n"/>
      <c r="D104" s="134" t="n"/>
      <c r="E104" s="134" t="n"/>
      <c r="F104" s="134" t="n"/>
      <c r="G104" s="134" t="n"/>
      <c r="H104" s="134" t="n"/>
      <c r="I104" s="166" t="n"/>
      <c r="J104" s="135">
        <f>SUM(C91:I91)</f>
        <v/>
      </c>
    </row>
    <row r="105" ht="16.5" customHeight="1" s="77">
      <c r="A105" s="105" t="n"/>
      <c r="B105" s="58" t="inlineStr">
        <is>
          <t>MRI/도수치료/비급여주사</t>
        </is>
      </c>
      <c r="C105" s="134" t="n"/>
      <c r="D105" s="134" t="n"/>
      <c r="E105" s="134" t="n"/>
      <c r="F105" s="134" t="n"/>
      <c r="G105" s="134" t="n"/>
      <c r="H105" s="134" t="n"/>
      <c r="I105" s="166" t="n"/>
      <c r="J105" s="129" t="n"/>
    </row>
    <row r="106" ht="16.5" customHeight="1" s="77">
      <c r="A106" s="106" t="n"/>
      <c r="B106" s="22" t="inlineStr">
        <is>
          <t>상해의료비</t>
        </is>
      </c>
      <c r="C106" s="128" t="n"/>
      <c r="D106" s="128" t="n"/>
      <c r="E106" s="128" t="n"/>
      <c r="F106" s="128" t="n"/>
      <c r="G106" s="128" t="n"/>
      <c r="H106" s="128" t="n"/>
      <c r="I106" s="167" t="n"/>
      <c r="J106" s="135" t="n"/>
    </row>
    <row r="107" ht="16.5" customHeight="1" s="77">
      <c r="A107" s="104" t="inlineStr">
        <is>
          <t>일배책</t>
        </is>
      </c>
      <c r="B107" s="74" t="inlineStr">
        <is>
          <t>일상배상책임</t>
        </is>
      </c>
      <c r="C107" s="168" t="n"/>
      <c r="D107" s="168" t="n"/>
      <c r="E107" s="168" t="n"/>
      <c r="F107" s="168" t="n"/>
      <c r="G107" s="168" t="n"/>
      <c r="H107" s="168" t="n"/>
      <c r="I107" s="168" t="n"/>
      <c r="J107" s="169">
        <f>SUM(C92:I92)</f>
        <v/>
      </c>
    </row>
    <row r="108" ht="16.5" customHeight="1" s="77"/>
    <row r="109" ht="16.5" customHeight="1" s="77"/>
  </sheetData>
  <mergeCells count="17">
    <mergeCell ref="A4:B4"/>
    <mergeCell ref="A2:B2"/>
    <mergeCell ref="A98:A99"/>
    <mergeCell ref="A100:A101"/>
    <mergeCell ref="A87:A92"/>
    <mergeCell ref="A15:A32"/>
    <mergeCell ref="A5:B5"/>
    <mergeCell ref="A55:A67"/>
    <mergeCell ref="A33:A41"/>
    <mergeCell ref="A11:A14"/>
    <mergeCell ref="A1:B1"/>
    <mergeCell ref="A102:A106"/>
    <mergeCell ref="A42:A54"/>
    <mergeCell ref="A3:B3"/>
    <mergeCell ref="A93:A95"/>
    <mergeCell ref="A68:A86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Normal="100" workbookViewId="0">
      <selection activeCell="A1" sqref="A1"/>
    </sheetView>
  </sheetViews>
  <sheetFormatPr baseColWidth="8" defaultColWidth="8.5" defaultRowHeight="16.5"/>
  <cols>
    <col width="5" customWidth="1" style="77" min="1" max="1"/>
    <col width="110" customWidth="1" style="77" min="2" max="2"/>
  </cols>
  <sheetData>
    <row r="1" ht="20.1" customHeight="1" s="77">
      <c r="A1" s="78" t="inlineStr">
        <is>
          <t>바름 보장분석 법칙 v2 — 이 표본에 내장 (2026.06.09)</t>
        </is>
      </c>
    </row>
    <row r="3" ht="17.1" customHeight="1" s="77">
      <c r="A3" s="0" t="inlineStr">
        <is>
          <t>1</t>
        </is>
      </c>
      <c r="B3" s="79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77">
      <c r="A4" s="0" t="inlineStr">
        <is>
          <t>2</t>
        </is>
      </c>
      <c r="B4" s="79" t="inlineStr">
        <is>
          <t>새 고객 입력 시 이전 고객 값 전부 zero화(이 표본에서 새로 시작).</t>
        </is>
      </c>
    </row>
    <row r="5" ht="17.1" customHeight="1" s="77">
      <c r="A5" s="0" t="inlineStr">
        <is>
          <t>3</t>
        </is>
      </c>
      <c r="B5" s="79" t="inlineStr">
        <is>
          <t>열=계약(최대 50). 행=담보(15구분·82행). 끝열=합계.</t>
        </is>
      </c>
    </row>
    <row r="6" ht="17.1" customHeight="1" s="77">
      <c r="A6" s="0" t="inlineStr">
        <is>
          <t>4</t>
        </is>
      </c>
      <c r="B6" s="79" t="inlineStr">
        <is>
          <t>합계 = 세로(계약별) SUM. 4페이지 한장보장 값을 합계칸 직박음 금지(눈속임). 계약별 칸을 채워야 합계가 산다.</t>
        </is>
      </c>
    </row>
    <row r="7" ht="17.1" customHeight="1" s="77">
      <c r="A7" s="0" t="inlineStr">
        <is>
          <t>5</t>
        </is>
      </c>
      <c r="B7" s="79" t="inlineStr">
        <is>
          <t>계약별 대조 필수: A담보가 B회사 칸으로 가면 안 됨.</t>
        </is>
      </c>
    </row>
    <row r="8" ht="17.1" customHeight="1" s="77">
      <c r="A8" s="0" t="inlineStr">
        <is>
          <t>6</t>
        </is>
      </c>
      <c r="B8" s="80" t="inlineStr">
        <is>
          <t>1~5종 수술비 = 질병/상해 각 1행, 슬래시 가로표기 "20/50/100/500/1000", 합계도 종별.</t>
        </is>
      </c>
    </row>
    <row r="9" ht="17.1" customHeight="1" s="77">
      <c r="A9" s="0" t="inlineStr">
        <is>
          <t>7</t>
        </is>
      </c>
      <c r="B9" s="79" t="inlineStr">
        <is>
          <t>갱신/비갱신(제5조 정본 v498): ⓪실손=무조건 갱신 ①담보명·상품명 갱신형 명시→갱신 ②만기 9999(종신)→비갱신 ③납입기간=보장기간→갱신 / 다르면→비갱신(운전자도 동일·3열 KB·메리츠도 동일). ★폐기: 운전자→비갱신 · 총회차240초과→비갱신 · 삼성 예외.</t>
        </is>
      </c>
    </row>
    <row r="10" ht="17.1" customHeight="1" s="77">
      <c r="A10" s="0" t="inlineStr">
        <is>
          <t>8</t>
        </is>
      </c>
      <c r="B10" s="79" t="inlineStr">
        <is>
          <t>색: 갱신=파랑 / 비갱신=검정 / 미가입=빨강. 구분셀=연두. 헤더 갱신블루·비갱신레드·완납진녹.</t>
        </is>
      </c>
    </row>
    <row r="11" ht="17.1" customHeight="1" s="77">
      <c r="A11" s="0" t="inlineStr">
        <is>
          <t>9</t>
        </is>
      </c>
      <c r="B11" s="79" t="inlineStr">
        <is>
          <t>심장=담보명 직행(허혈성→허혈성칸, 전파금지). 불확정은 기재+[확인].</t>
        </is>
      </c>
    </row>
    <row r="12" ht="17.1" customHeight="1" s="77">
      <c r="A12" s="0" t="inlineStr">
        <is>
          <t>10</t>
        </is>
      </c>
      <c r="B12" s="80" t="inlineStr">
        <is>
          <t>9999(생보)=종신 → 일반사망(종신)+상해사망. 손보 질병사망=80세칸.</t>
        </is>
      </c>
    </row>
    <row r="13" ht="17.1" customHeight="1" s="77">
      <c r="A13" s="0" t="inlineStr">
        <is>
          <t>11</t>
        </is>
      </c>
      <c r="B13" s="79" t="inlineStr">
        <is>
          <t>추측 금지: 모르면 빈칸+[확인]. 채우는 게 최악, 비우고 메모가 차선, 확정 기재가 최선. 자동천장 95%.</t>
        </is>
      </c>
    </row>
    <row r="14" ht="17.1" customHeight="1" s="77">
      <c r="A14" s="0" t="inlineStr">
        <is>
          <t>12</t>
        </is>
      </c>
      <c r="B14" s="79" t="inlineStr">
        <is>
          <t>엑셀=원천, PPT는 완성 엑셀만 읽음(PDF→엑셀→PPT). 제출 전 렌더검수 통과한 것만.</t>
        </is>
      </c>
    </row>
    <row r="15">
      <c r="A15" s="0" t="inlineStr">
        <is>
          <t>14</t>
        </is>
      </c>
      <c r="B15" s="79" t="inlineStr">
        <is>
          <t>소액암(유방·자궁경부·자궁체부·전립선·방광) = 암블록 「소액암」 전용행(유사암 아래). 담보명에 소액암 명시된 진단비만. 유사암 행 합산 금지. PPT 암진단비 「소액암」 칸 1:1. (제228조 2026.10.09)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6.5"/>
  <cols>
    <col width="12" customWidth="1" style="77" min="1" max="1"/>
    <col width="34" customWidth="1" style="77" min="2" max="2"/>
    <col width="40" customWidth="1" style="77" min="3" max="3"/>
    <col width="26" customWidth="1" style="77" min="4" max="4"/>
    <col width="30" customWidth="1" style="77" min="5" max="5"/>
  </cols>
  <sheetData>
    <row r="1" ht="19.15" customHeight="1" s="77">
      <c r="A1" s="82" t="inlineStr">
        <is>
          <t>★ 이 시트가 지침 체크봇의 정본이다. 여기에 행을 추가하면 앱이 매 분석마다 자동으로 검사한다.</t>
        </is>
      </c>
    </row>
    <row r="2">
      <c r="A2" s="0" t="inlineStr">
        <is>
          <t>사용법 : 구분=케이스 / 조항 / 담보명(리포트에 인쇄된 그대로) / 기대행(마스터 B열 담보명 · 기재금지면 빈칸) — 행 추가만 하면 된다. 코드 수정 불필요.</t>
        </is>
      </c>
    </row>
    <row r="3">
      <c r="A3" s="0" t="inlineStr">
        <is>
          <t>구분=커버리지허용 : 마스터 라벨이 자기 행으로 안 돌아오는 것이 정상인 행(라벨≠담보명 설계분). 담보명 칸에 라벨을 적는다.</t>
        </is>
      </c>
    </row>
    <row r="5">
      <c r="A5" s="83" t="inlineStr">
        <is>
          <t>구분</t>
        </is>
      </c>
      <c r="B5" s="83" t="inlineStr">
        <is>
          <t>조항</t>
        </is>
      </c>
      <c r="C5" s="83" t="inlineStr">
        <is>
          <t>담보명</t>
        </is>
      </c>
      <c r="D5" s="83" t="inlineStr">
        <is>
          <t>기대행(빈칸=기재금지)</t>
        </is>
      </c>
      <c r="E5" s="83" t="inlineStr">
        <is>
          <t>비고</t>
        </is>
      </c>
    </row>
    <row r="6">
      <c r="A6" s="0" t="inlineStr">
        <is>
          <t>케이스</t>
        </is>
      </c>
      <c r="B6" s="0" t="inlineStr">
        <is>
          <t>§8.7 일당 계열 배정(v212·v303·v305)</t>
        </is>
      </c>
      <c r="C6" s="0" t="inlineStr">
        <is>
          <t>2대질병입원일당</t>
        </is>
      </c>
      <c r="D6" s="0" t="n"/>
    </row>
    <row r="7">
      <c r="A7" s="0" t="inlineStr">
        <is>
          <t>케이스</t>
        </is>
      </c>
      <c r="B7" s="0" t="inlineStr">
        <is>
          <t>§8.7 일당 계열 배정(v212·v303·v305)</t>
        </is>
      </c>
      <c r="C7" s="0" t="inlineStr">
        <is>
          <t>특정질병입원일당</t>
        </is>
      </c>
      <c r="D7" s="0" t="n"/>
    </row>
    <row r="8">
      <c r="A8" s="0" t="inlineStr">
        <is>
          <t>케이스</t>
        </is>
      </c>
      <c r="B8" s="0" t="inlineStr">
        <is>
          <t>§8.7 일당 계열 배정(v212·v303·v305)</t>
        </is>
      </c>
      <c r="C8" s="0" t="inlineStr">
        <is>
          <t>3대질병입원일당</t>
        </is>
      </c>
      <c r="D8" s="0" t="n"/>
    </row>
    <row r="9">
      <c r="A9" s="0" t="inlineStr">
        <is>
          <t>케이스</t>
        </is>
      </c>
      <c r="B9" s="0" t="inlineStr">
        <is>
          <t>§8.7 일당 계열 배정(v212·v303·v305)</t>
        </is>
      </c>
      <c r="C9" s="0" t="inlineStr">
        <is>
          <t>질병입원일당(1-180)</t>
        </is>
      </c>
      <c r="D9" s="0" t="inlineStr">
        <is>
          <t>질병일당</t>
        </is>
      </c>
    </row>
    <row r="10">
      <c r="A10" s="0" t="inlineStr">
        <is>
          <t>케이스</t>
        </is>
      </c>
      <c r="B10" s="0" t="inlineStr">
        <is>
          <t>§8.7 일당 계열 배정(v212·v303·v305)</t>
        </is>
      </c>
      <c r="C10" s="0" t="inlineStr">
        <is>
          <t>질병일당</t>
        </is>
      </c>
      <c r="D10" s="0" t="inlineStr">
        <is>
          <t>질병일당</t>
        </is>
      </c>
    </row>
    <row r="11">
      <c r="A11" s="0" t="inlineStr">
        <is>
          <t>케이스</t>
        </is>
      </c>
      <c r="B11" s="0" t="inlineStr">
        <is>
          <t>§8.7 일당 계열 배정(v212·v303·v305)</t>
        </is>
      </c>
      <c r="C11" s="0" t="inlineStr">
        <is>
          <t>질병입원</t>
        </is>
      </c>
      <c r="D11" s="0" t="inlineStr">
        <is>
          <t>질병일당</t>
        </is>
      </c>
    </row>
    <row r="12">
      <c r="A12" s="0" t="inlineStr">
        <is>
          <t>케이스</t>
        </is>
      </c>
      <c r="B12" s="0" t="inlineStr">
        <is>
          <t>§8.7 일당 계열 배정(v212·v303·v305)</t>
        </is>
      </c>
      <c r="C12" s="0" t="inlineStr">
        <is>
          <t>상해입원일당(1-180)</t>
        </is>
      </c>
      <c r="D12" s="0" t="inlineStr">
        <is>
          <t>상해일당</t>
        </is>
      </c>
    </row>
    <row r="13">
      <c r="A13" s="0" t="inlineStr">
        <is>
          <t>케이스</t>
        </is>
      </c>
      <c r="B13" s="0" t="inlineStr">
        <is>
          <t>§8.7 일당 계열 배정(v212·v303·v305)</t>
        </is>
      </c>
      <c r="C13" s="0" t="inlineStr">
        <is>
          <t>재해입원일당</t>
        </is>
      </c>
      <c r="D13" s="0" t="inlineStr">
        <is>
          <t>상해일당</t>
        </is>
      </c>
    </row>
    <row r="14">
      <c r="A14" s="0" t="inlineStr">
        <is>
          <t>케이스</t>
        </is>
      </c>
      <c r="B14" s="0" t="inlineStr">
        <is>
          <t>§8.7 일당 계열 배정(v212·v303·v305)</t>
        </is>
      </c>
      <c r="C14" s="0" t="inlineStr">
        <is>
          <t>종합병원 질병입원일당</t>
        </is>
      </c>
      <c r="D14" s="0" t="inlineStr">
        <is>
          <t>종합병원 질병입원일당</t>
        </is>
      </c>
    </row>
    <row r="15">
      <c r="A15" s="0" t="inlineStr">
        <is>
          <t>케이스</t>
        </is>
      </c>
      <c r="B15" s="0" t="inlineStr">
        <is>
          <t>§8.7 일당 계열 배정(v212·v303·v305)</t>
        </is>
      </c>
      <c r="C15" s="0" t="inlineStr">
        <is>
          <t>상급병원 질병입원일당</t>
        </is>
      </c>
      <c r="D15" s="0" t="n"/>
    </row>
    <row r="16">
      <c r="A16" s="0" t="inlineStr">
        <is>
          <t>케이스</t>
        </is>
      </c>
      <c r="B16" s="0" t="inlineStr">
        <is>
          <t>§8.7 일당 계열 배정(v212·v303·v305)</t>
        </is>
      </c>
      <c r="C16" s="0" t="inlineStr">
        <is>
          <t>교통상해입원일당</t>
        </is>
      </c>
      <c r="D16" s="0" t="n"/>
    </row>
    <row r="17">
      <c r="A17" s="0" t="inlineStr">
        <is>
          <t>케이스</t>
        </is>
      </c>
      <c r="B17" s="0" t="inlineStr">
        <is>
          <t>§8.7 일당 계열 배정(v212·v303·v305)</t>
        </is>
      </c>
      <c r="C17" s="0" t="inlineStr">
        <is>
          <t>암직접치료입원일당</t>
        </is>
      </c>
      <c r="D17" s="0" t="inlineStr">
        <is>
          <t>암일당</t>
        </is>
      </c>
    </row>
    <row r="18">
      <c r="A18" s="0" t="inlineStr">
        <is>
          <t>케이스</t>
        </is>
      </c>
      <c r="B18" s="0" t="inlineStr">
        <is>
          <t>§8.7 일당 계열 배정(v212·v303·v305)</t>
        </is>
      </c>
      <c r="C18" s="0" t="inlineStr">
        <is>
          <t>입원급여금</t>
        </is>
      </c>
      <c r="D18" s="0" t="inlineStr">
        <is>
          <t>질병일당</t>
        </is>
      </c>
    </row>
    <row r="19">
      <c r="A19" s="0" t="inlineStr">
        <is>
          <t>케이스</t>
        </is>
      </c>
      <c r="B19" s="0" t="inlineStr">
        <is>
          <t>§8.7 일당 계열 배정(v212·v303·v305)</t>
        </is>
      </c>
      <c r="C19" s="0" t="inlineStr">
        <is>
          <t>간호간병통합서비스사용 질병입원일당</t>
        </is>
      </c>
      <c r="D19" s="0" t="inlineStr">
        <is>
          <t>간호통합병동</t>
        </is>
      </c>
    </row>
    <row r="20">
      <c r="A20" s="0" t="inlineStr">
        <is>
          <t>케이스</t>
        </is>
      </c>
      <c r="B20" s="0" t="inlineStr">
        <is>
          <t>§8.2 암·유사암(v248·v197·v227)</t>
        </is>
      </c>
      <c r="C20" s="0" t="inlineStr">
        <is>
          <t>갱신형 유사암진단비</t>
        </is>
      </c>
      <c r="D20" s="0" t="inlineStr">
        <is>
          <t>유사암(갑.기.경.제)</t>
        </is>
      </c>
    </row>
    <row r="21">
      <c r="A21" s="0" t="inlineStr">
        <is>
          <t>케이스</t>
        </is>
      </c>
      <c r="B21" s="0" t="inlineStr">
        <is>
          <t>§8.2 암·유사암(v248·v197·v227)</t>
        </is>
      </c>
      <c r="C21" s="0" t="inlineStr">
        <is>
          <t>소액암진단</t>
        </is>
      </c>
      <c r="D21" s="0" t="inlineStr">
        <is>
          <t>소액암</t>
        </is>
      </c>
    </row>
    <row r="22">
      <c r="A22" s="0" t="inlineStr">
        <is>
          <t>케이스</t>
        </is>
      </c>
      <c r="B22" s="0" t="inlineStr">
        <is>
          <t>§8.2 암·유사암(v248·v197·v227)</t>
        </is>
      </c>
      <c r="C22" s="0" t="inlineStr">
        <is>
          <t>갱신형 갑상선암(초기제외)진단비</t>
        </is>
      </c>
      <c r="D22" s="0" t="n"/>
    </row>
    <row r="23">
      <c r="A23" s="0" t="inlineStr">
        <is>
          <t>케이스</t>
        </is>
      </c>
      <c r="B23" s="0" t="inlineStr">
        <is>
          <t>§8.2 암·유사암(v248·v197·v227)</t>
        </is>
      </c>
      <c r="C23" s="0" t="inlineStr">
        <is>
          <t>갑상샘암치료보험금</t>
        </is>
      </c>
      <c r="D23" s="0" t="n"/>
    </row>
    <row r="24">
      <c r="A24" s="0" t="inlineStr">
        <is>
          <t>케이스</t>
        </is>
      </c>
      <c r="B24" s="0" t="inlineStr">
        <is>
          <t>§8.2 암·유사암(v248·v197·v227)</t>
        </is>
      </c>
      <c r="C24" s="0" t="inlineStr">
        <is>
          <t>상피내암치료보험금</t>
        </is>
      </c>
      <c r="D24" s="0" t="n"/>
    </row>
    <row r="25">
      <c r="A25" s="0" t="inlineStr">
        <is>
          <t>케이스</t>
        </is>
      </c>
      <c r="B25" s="0" t="inlineStr">
        <is>
          <t>§8.2 암·유사암(v248·v197·v227)</t>
        </is>
      </c>
      <c r="C25" s="0" t="inlineStr">
        <is>
          <t>갱신형 유사암수술비</t>
        </is>
      </c>
      <c r="D25" s="0" t="n"/>
    </row>
    <row r="26">
      <c r="A26" s="0" t="inlineStr">
        <is>
          <t>케이스</t>
        </is>
      </c>
      <c r="B26" s="0" t="inlineStr">
        <is>
          <t>§8.2 암·유사암(v248·v197·v227)</t>
        </is>
      </c>
      <c r="C26" s="0" t="inlineStr">
        <is>
          <t>암진단비(유사암제외)</t>
        </is>
      </c>
      <c r="D26" s="0" t="inlineStr">
        <is>
          <t>일반암</t>
        </is>
      </c>
    </row>
    <row r="27">
      <c r="A27" s="0" t="inlineStr">
        <is>
          <t>케이스</t>
        </is>
      </c>
      <c r="B27" s="0" t="inlineStr">
        <is>
          <t>§8.2 암·유사암(v248·v197·v227)</t>
        </is>
      </c>
      <c r="C27" s="0" t="inlineStr">
        <is>
          <t>16대특정암진단비</t>
        </is>
      </c>
      <c r="D27" s="0" t="inlineStr">
        <is>
          <t>고액암</t>
        </is>
      </c>
    </row>
    <row r="28">
      <c r="A28" s="0" t="inlineStr">
        <is>
          <t>케이스</t>
        </is>
      </c>
      <c r="B28" s="0" t="inlineStr">
        <is>
          <t>§8.2 암·유사암(v248·v197·v227)</t>
        </is>
      </c>
      <c r="C28" s="0" t="inlineStr">
        <is>
          <t>일반암직접치료비</t>
        </is>
      </c>
      <c r="D28" s="0" t="inlineStr">
        <is>
          <t>암수술</t>
        </is>
      </c>
    </row>
    <row r="29">
      <c r="A29" s="0" t="inlineStr">
        <is>
          <t>케이스</t>
        </is>
      </c>
      <c r="B29" s="0" t="inlineStr">
        <is>
          <t>§8.2 암·유사암(v248·v197·v227)</t>
        </is>
      </c>
      <c r="C29" s="0" t="inlineStr">
        <is>
          <t>치매진단</t>
        </is>
      </c>
      <c r="D29" s="0" t="n"/>
    </row>
    <row r="30">
      <c r="A30" s="0" t="inlineStr">
        <is>
          <t>케이스</t>
        </is>
      </c>
      <c r="B30" s="0" t="inlineStr">
        <is>
          <t>§8.2 암·유사암(v248·v197·v227)</t>
        </is>
      </c>
      <c r="C30" s="0" t="inlineStr">
        <is>
          <t>치매진단(경증)</t>
        </is>
      </c>
      <c r="D30" s="0" t="n"/>
    </row>
    <row r="31">
      <c r="A31" s="0" t="inlineStr">
        <is>
          <t>케이스</t>
        </is>
      </c>
      <c r="B31" s="0" t="inlineStr">
        <is>
          <t>§8.3 심장·부정맥(v217·단독담보 원칙)</t>
        </is>
      </c>
      <c r="C31" s="0" t="inlineStr">
        <is>
          <t>심장부정맥고주파·냉각절제술보장</t>
        </is>
      </c>
      <c r="D31" s="0" t="n"/>
    </row>
    <row r="32">
      <c r="A32" s="0" t="inlineStr">
        <is>
          <t>케이스</t>
        </is>
      </c>
      <c r="B32" s="0" t="inlineStr">
        <is>
          <t>§8.3 심장·부정맥(v217·단독담보 원칙)</t>
        </is>
      </c>
      <c r="C32" s="0" t="inlineStr">
        <is>
          <t>부정맥진단비</t>
        </is>
      </c>
      <c r="D32" s="0" t="inlineStr">
        <is>
          <t>부정맥</t>
        </is>
      </c>
    </row>
    <row r="33">
      <c r="A33" s="0" t="inlineStr">
        <is>
          <t>케이스</t>
        </is>
      </c>
      <c r="B33" s="0" t="inlineStr">
        <is>
          <t>§8.3 심장·부정맥(v217·단독담보 원칙)</t>
        </is>
      </c>
      <c r="C33" s="0" t="inlineStr">
        <is>
          <t>기타심장부정맥(I49)진단비</t>
        </is>
      </c>
      <c r="D33" s="0" t="inlineStr">
        <is>
          <t>부정맥</t>
        </is>
      </c>
    </row>
    <row r="34">
      <c r="A34" s="0" t="inlineStr">
        <is>
          <t>케이스</t>
        </is>
      </c>
      <c r="B34" s="0" t="inlineStr">
        <is>
          <t>§8.3 심장·부정맥(v217·단독담보 원칙)</t>
        </is>
      </c>
      <c r="C34" s="0" t="inlineStr">
        <is>
          <t>허혈성심장질환진단비</t>
        </is>
      </c>
      <c r="D34" s="0" t="inlineStr">
        <is>
          <t>허혈성 진단비</t>
        </is>
      </c>
    </row>
    <row r="35">
      <c r="A35" s="0" t="inlineStr">
        <is>
          <t>케이스</t>
        </is>
      </c>
      <c r="B35" s="0" t="inlineStr">
        <is>
          <t>§8.3 심장·부정맥(v217·단독담보 원칙)</t>
        </is>
      </c>
      <c r="C35" s="0" t="inlineStr">
        <is>
          <t>주요심뇌5대혈관수술비</t>
        </is>
      </c>
      <c r="D35" s="0" t="n"/>
    </row>
    <row r="36">
      <c r="A36" s="0" t="inlineStr">
        <is>
          <t>케이스</t>
        </is>
      </c>
      <c r="B36" s="0" t="inlineStr">
        <is>
          <t>§8.3 심장·부정맥(v217·단독담보 원칙)</t>
        </is>
      </c>
      <c r="C36" s="0" t="inlineStr">
        <is>
          <t>심뇌혈관수술비</t>
        </is>
      </c>
      <c r="D36" s="0" t="inlineStr">
        <is>
          <t>뇌혈관수술비</t>
        </is>
      </c>
    </row>
    <row r="37">
      <c r="A37" s="0" t="inlineStr">
        <is>
          <t>케이스</t>
        </is>
      </c>
      <c r="B37" s="0" t="inlineStr">
        <is>
          <t>§8.1 사망·후유장해(v222·v300·v302)</t>
        </is>
      </c>
      <c r="C37" s="0" t="inlineStr">
        <is>
          <t>상해후유장해(20%이상)</t>
        </is>
      </c>
      <c r="D37" s="0" t="n"/>
    </row>
    <row r="38">
      <c r="A38" s="0" t="inlineStr">
        <is>
          <t>케이스</t>
        </is>
      </c>
      <c r="B38" s="0" t="inlineStr">
        <is>
          <t>§8.1 사망·후유장해(v222·v300·v302)</t>
        </is>
      </c>
      <c r="C38" s="0" t="inlineStr">
        <is>
          <t>상해후유장해(50%이상)</t>
        </is>
      </c>
      <c r="D38" s="0" t="n"/>
    </row>
    <row r="39">
      <c r="A39" s="0" t="inlineStr">
        <is>
          <t>케이스</t>
        </is>
      </c>
      <c r="B39" s="0" t="inlineStr">
        <is>
          <t>§8.1 사망·후유장해(v222·v300·v302)</t>
        </is>
      </c>
      <c r="C39" s="0" t="inlineStr">
        <is>
          <t>상해후유장해(3%이상)</t>
        </is>
      </c>
      <c r="D39" s="0" t="inlineStr">
        <is>
          <t>상해후유3%</t>
        </is>
      </c>
    </row>
    <row r="40">
      <c r="A40" s="0" t="inlineStr">
        <is>
          <t>케이스</t>
        </is>
      </c>
      <c r="B40" s="0" t="inlineStr">
        <is>
          <t>§8.1 사망·후유장해(v222·v300·v302)</t>
        </is>
      </c>
      <c r="C40" s="0" t="inlineStr">
        <is>
          <t>재해장해연금</t>
        </is>
      </c>
      <c r="D40" s="0" t="n"/>
    </row>
    <row r="41">
      <c r="A41" s="0" t="inlineStr">
        <is>
          <t>케이스</t>
        </is>
      </c>
      <c r="B41" s="0" t="inlineStr">
        <is>
          <t>§8.1 사망·후유장해(v222·v300·v302)</t>
        </is>
      </c>
      <c r="C41" s="0" t="inlineStr">
        <is>
          <t>재해후유장해3%</t>
        </is>
      </c>
      <c r="D41" s="0" t="inlineStr">
        <is>
          <t>상해후유3%</t>
        </is>
      </c>
    </row>
    <row r="42">
      <c r="A42" s="0" t="inlineStr">
        <is>
          <t>케이스</t>
        </is>
      </c>
      <c r="B42" s="0" t="inlineStr">
        <is>
          <t>§8.1 사망·후유장해(v222·v300·v302)</t>
        </is>
      </c>
      <c r="C42" s="0" t="inlineStr">
        <is>
          <t>교통상해사망</t>
        </is>
      </c>
      <c r="D42" s="0" t="inlineStr">
        <is>
          <t>교통상해사망</t>
        </is>
      </c>
    </row>
    <row r="43">
      <c r="A43" s="0" t="inlineStr">
        <is>
          <t>케이스</t>
        </is>
      </c>
      <c r="B43" s="0" t="inlineStr">
        <is>
          <t>§8.1 사망·후유장해(v222·v300·v302)</t>
        </is>
      </c>
      <c r="C43" s="0" t="inlineStr">
        <is>
          <t>대중교통상해사망</t>
        </is>
      </c>
      <c r="D43" s="0" t="inlineStr">
        <is>
          <t>교통상해사망</t>
        </is>
      </c>
    </row>
    <row r="44">
      <c r="A44" s="0" t="inlineStr">
        <is>
          <t>케이스</t>
        </is>
      </c>
      <c r="B44" s="0" t="inlineStr">
        <is>
          <t>§8.1 사망·후유장해(v222·v300·v302)</t>
        </is>
      </c>
      <c r="C44" s="0" t="inlineStr">
        <is>
          <t>상해사망</t>
        </is>
      </c>
      <c r="D44" s="0" t="inlineStr">
        <is>
          <t>상해사망</t>
        </is>
      </c>
    </row>
    <row r="45">
      <c r="A45" s="0" t="inlineStr">
        <is>
          <t>케이스</t>
        </is>
      </c>
      <c r="B45" s="0" t="inlineStr">
        <is>
          <t>§8.6 운전자(v198·v301·v302)</t>
        </is>
      </c>
      <c r="C45" s="0" t="inlineStr">
        <is>
          <t>타인사망교통사고처리지원금</t>
        </is>
      </c>
      <c r="D45" s="0" t="inlineStr">
        <is>
          <t>합의금</t>
        </is>
      </c>
    </row>
    <row r="46">
      <c r="A46" s="0" t="inlineStr">
        <is>
          <t>케이스</t>
        </is>
      </c>
      <c r="B46" s="0" t="inlineStr">
        <is>
          <t>§8.6 운전자(v198·v301·v302)</t>
        </is>
      </c>
      <c r="C46" s="0" t="inlineStr">
        <is>
          <t>교통사고처리지원금(중상해포함)</t>
        </is>
      </c>
      <c r="D46" s="0" t="inlineStr">
        <is>
          <t>합의금</t>
        </is>
      </c>
    </row>
    <row r="47">
      <c r="A47" s="0" t="inlineStr">
        <is>
          <t>케이스</t>
        </is>
      </c>
      <c r="B47" s="0" t="inlineStr">
        <is>
          <t>§8.6 운전자(v198·v301·v302)</t>
        </is>
      </c>
      <c r="C47" s="0" t="inlineStr">
        <is>
          <t>자동차사고부상치료비(14급)</t>
        </is>
      </c>
      <c r="D47" s="0" t="inlineStr">
        <is>
          <t>자부상</t>
        </is>
      </c>
    </row>
    <row r="48">
      <c r="A48" s="0" t="inlineStr">
        <is>
          <t>케이스</t>
        </is>
      </c>
      <c r="B48" s="0" t="inlineStr">
        <is>
          <t>§8.6 운전자(v198·v301·v302)</t>
        </is>
      </c>
      <c r="C48" s="0" t="inlineStr">
        <is>
          <t>교통사고 벌금(대인)</t>
        </is>
      </c>
      <c r="D48" s="0" t="inlineStr">
        <is>
          <t>대인</t>
        </is>
      </c>
    </row>
    <row r="49">
      <c r="A49" s="0" t="inlineStr">
        <is>
          <t>케이스</t>
        </is>
      </c>
      <c r="B49" s="0" t="inlineStr">
        <is>
          <t>§8.6 운전자(v198·v301·v302)</t>
        </is>
      </c>
      <c r="C49" s="0" t="inlineStr">
        <is>
          <t>교통사고 벌금(대물)</t>
        </is>
      </c>
      <c r="D49" s="0" t="inlineStr">
        <is>
          <t>대물</t>
        </is>
      </c>
    </row>
    <row r="50">
      <c r="A50" s="0" t="inlineStr">
        <is>
          <t>케이스</t>
        </is>
      </c>
      <c r="B50" s="0" t="inlineStr">
        <is>
          <t>§8.6 운전자(v198·v301·v302)</t>
        </is>
      </c>
      <c r="C50" s="0" t="inlineStr">
        <is>
          <t>변호사선임비용</t>
        </is>
      </c>
      <c r="D50" s="0" t="inlineStr">
        <is>
          <t>변호사</t>
        </is>
      </c>
    </row>
    <row r="51">
      <c r="A51" s="0" t="inlineStr">
        <is>
          <t>케이스</t>
        </is>
      </c>
      <c r="B51" s="0" t="inlineStr">
        <is>
          <t>§8.6 운전자(v198·v301·v302)</t>
        </is>
      </c>
      <c r="C51" s="0" t="inlineStr">
        <is>
          <t>6주미만 진단위로금</t>
        </is>
      </c>
      <c r="D51" s="0" t="inlineStr">
        <is>
          <t>6주미만</t>
        </is>
      </c>
    </row>
    <row r="52">
      <c r="A52" s="0" t="inlineStr">
        <is>
          <t>케이스</t>
        </is>
      </c>
      <c r="B52" s="0" t="inlineStr">
        <is>
          <t>§8.7 골절·화상·기타(v301·v38c)</t>
        </is>
      </c>
      <c r="C52" s="0" t="inlineStr">
        <is>
          <t>중증화상진단비</t>
        </is>
      </c>
      <c r="D52" s="0" t="inlineStr">
        <is>
          <t>중증화상진단비</t>
        </is>
      </c>
    </row>
    <row r="53">
      <c r="A53" s="0" t="inlineStr">
        <is>
          <t>케이스</t>
        </is>
      </c>
      <c r="B53" s="0" t="inlineStr">
        <is>
          <t>§8.7 골절·화상·기타(v301·v38c)</t>
        </is>
      </c>
      <c r="C53" s="0" t="inlineStr">
        <is>
          <t>화상진단비</t>
        </is>
      </c>
      <c r="D53" s="0" t="inlineStr">
        <is>
          <t>화상진단비</t>
        </is>
      </c>
    </row>
    <row r="54">
      <c r="A54" s="0" t="inlineStr">
        <is>
          <t>케이스</t>
        </is>
      </c>
      <c r="B54" s="0" t="inlineStr">
        <is>
          <t>§8.7 골절·화상·기타(v301·v38c)</t>
        </is>
      </c>
      <c r="C54" s="0" t="inlineStr">
        <is>
          <t>중대한화상및부식진단비</t>
        </is>
      </c>
      <c r="D54" s="0" t="inlineStr">
        <is>
          <t>중증화상진단비</t>
        </is>
      </c>
    </row>
    <row r="55">
      <c r="A55" s="0" t="inlineStr">
        <is>
          <t>케이스</t>
        </is>
      </c>
      <c r="B55" s="0" t="inlineStr">
        <is>
          <t>§8.7 골절·화상·기타(v301·v38c)</t>
        </is>
      </c>
      <c r="C55" s="0" t="inlineStr">
        <is>
          <t>골절진단비(치아파절제외)</t>
        </is>
      </c>
      <c r="D55" s="0" t="inlineStr">
        <is>
          <t>골절(치아파절제외)</t>
        </is>
      </c>
    </row>
    <row r="56">
      <c r="A56" s="0" t="inlineStr">
        <is>
          <t>케이스</t>
        </is>
      </c>
      <c r="B56" s="0" t="inlineStr">
        <is>
          <t>§8.7 골절·화상·기타(v301·v38c)</t>
        </is>
      </c>
      <c r="C56" s="0" t="inlineStr">
        <is>
          <t>골절진단비</t>
        </is>
      </c>
      <c r="D56" s="0" t="inlineStr">
        <is>
          <t>골절(치아파절포함)</t>
        </is>
      </c>
    </row>
    <row r="57">
      <c r="A57" s="0" t="inlineStr">
        <is>
          <t>케이스</t>
        </is>
      </c>
      <c r="B57" s="0" t="inlineStr">
        <is>
          <t>§8.7 골절·화상·기타(v301·v38c)</t>
        </is>
      </c>
      <c r="C57" s="0" t="inlineStr">
        <is>
          <t>일상생활배상책임</t>
        </is>
      </c>
      <c r="D57" s="0" t="inlineStr">
        <is>
          <t>일상배상책임</t>
        </is>
      </c>
    </row>
    <row r="58">
      <c r="A58" s="0" t="inlineStr">
        <is>
          <t>케이스</t>
        </is>
      </c>
      <c r="B58" s="0" t="inlineStr">
        <is>
          <t>§8.7 골절·화상·기타(v301·v38c)</t>
        </is>
      </c>
      <c r="C58" s="0" t="inlineStr">
        <is>
          <t>응급실내원비</t>
        </is>
      </c>
      <c r="D58" s="0" t="inlineStr">
        <is>
          <t>응급실(응급)</t>
        </is>
      </c>
    </row>
    <row r="59">
      <c r="A59" s="0" t="inlineStr">
        <is>
          <t>케이스</t>
        </is>
      </c>
      <c r="B59" s="0" t="inlineStr">
        <is>
          <t>§8.5 수술·재해=상해(v304)</t>
        </is>
      </c>
      <c r="C59" s="0" t="inlineStr">
        <is>
          <t>재해수술일당</t>
        </is>
      </c>
      <c r="D59" s="0" t="inlineStr">
        <is>
          <t>상해수술일당</t>
        </is>
      </c>
    </row>
    <row r="60">
      <c r="A60" s="0" t="inlineStr">
        <is>
          <t>케이스</t>
        </is>
      </c>
      <c r="B60" s="0" t="inlineStr">
        <is>
          <t>§8.5 수술·재해=상해(v304)</t>
        </is>
      </c>
      <c r="C60" s="0" t="inlineStr">
        <is>
          <t>재해종수술비(1-5종)</t>
        </is>
      </c>
      <c r="D60" s="0" t="inlineStr">
        <is>
          <t>상해 종수술비(1-5종)</t>
        </is>
      </c>
    </row>
    <row r="61">
      <c r="A61" s="0" t="inlineStr">
        <is>
          <t>커버리지허용</t>
        </is>
      </c>
      <c r="B61" s="0" t="inlineStr">
        <is>
          <t>라벨≠담보명 설계분</t>
        </is>
      </c>
      <c r="C61" s="0" t="inlineStr">
        <is>
          <t>120대수술비</t>
        </is>
      </c>
    </row>
    <row r="62">
      <c r="A62" s="0" t="inlineStr">
        <is>
          <t>커버리지허용</t>
        </is>
      </c>
      <c r="B62" s="0" t="inlineStr">
        <is>
          <t>라벨≠담보명 설계분</t>
        </is>
      </c>
      <c r="C62" s="0" t="inlineStr">
        <is>
          <t>MRI/도수치료/비급여주사</t>
        </is>
      </c>
    </row>
    <row r="63">
      <c r="A63" s="0" t="inlineStr">
        <is>
          <t>커버리지허용</t>
        </is>
      </c>
      <c r="B63" s="0" t="inlineStr">
        <is>
          <t>라벨≠담보명 설계분</t>
        </is>
      </c>
      <c r="C63" s="0" t="inlineStr">
        <is>
          <t>대인</t>
        </is>
      </c>
    </row>
    <row r="64">
      <c r="A64" s="0" t="inlineStr">
        <is>
          <t>커버리지허용</t>
        </is>
      </c>
      <c r="B64" s="0" t="inlineStr">
        <is>
          <t>라벨≠담보명 설계분</t>
        </is>
      </c>
      <c r="C64" s="0" t="inlineStr">
        <is>
          <t>상해 종수술비(1-3종)</t>
        </is>
      </c>
    </row>
    <row r="65">
      <c r="A65" s="0" t="inlineStr">
        <is>
          <t>커버리지허용</t>
        </is>
      </c>
      <c r="B65" s="0" t="inlineStr">
        <is>
          <t>라벨≠담보명 설계분</t>
        </is>
      </c>
      <c r="C65" s="0" t="inlineStr">
        <is>
          <t>상해 종수술비(1-8종)</t>
        </is>
      </c>
    </row>
    <row r="66">
      <c r="A66" s="0" t="inlineStr">
        <is>
          <t>커버리지허용</t>
        </is>
      </c>
      <c r="B66" s="0" t="inlineStr">
        <is>
          <t>라벨≠담보명 설계분</t>
        </is>
      </c>
      <c r="C66" s="0" t="inlineStr">
        <is>
          <t>암일당</t>
        </is>
      </c>
    </row>
    <row r="67">
      <c r="A67" s="0" t="inlineStr">
        <is>
          <t>커버리지허용</t>
        </is>
      </c>
      <c r="B67" s="0" t="inlineStr">
        <is>
          <t>라벨≠담보명 설계분</t>
        </is>
      </c>
      <c r="C67" s="0" t="inlineStr">
        <is>
          <t>약값</t>
        </is>
      </c>
    </row>
    <row r="68">
      <c r="A68" s="0" t="inlineStr">
        <is>
          <t>커버리지허용</t>
        </is>
      </c>
      <c r="B68" s="0" t="inlineStr">
        <is>
          <t>라벨≠담보명 설계분</t>
        </is>
      </c>
      <c r="C68" s="0" t="inlineStr">
        <is>
          <t>염증</t>
        </is>
      </c>
    </row>
    <row r="69">
      <c r="A69" s="0" t="inlineStr">
        <is>
          <t>커버리지허용</t>
        </is>
      </c>
      <c r="B69" s="0" t="inlineStr">
        <is>
          <t>라벨≠담보명 설계분</t>
        </is>
      </c>
      <c r="C69" s="0" t="inlineStr">
        <is>
          <t>일반암</t>
        </is>
      </c>
    </row>
    <row r="70">
      <c r="A70" s="0" t="inlineStr">
        <is>
          <t>커버리지허용</t>
        </is>
      </c>
      <c r="B70" s="0" t="inlineStr">
        <is>
          <t>라벨≠담보명 설계분</t>
        </is>
      </c>
      <c r="C70" s="0" t="inlineStr">
        <is>
          <t>입원</t>
        </is>
      </c>
    </row>
    <row r="71">
      <c r="A71" s="0" t="inlineStr">
        <is>
          <t>커버리지허용</t>
        </is>
      </c>
      <c r="B71" s="0" t="inlineStr">
        <is>
          <t>라벨≠담보명 설계분</t>
        </is>
      </c>
      <c r="C71" s="0" t="inlineStr">
        <is>
          <t>중대한 뇌출혈</t>
        </is>
      </c>
    </row>
    <row r="72">
      <c r="A72" s="0" t="inlineStr">
        <is>
          <t>커버리지허용</t>
        </is>
      </c>
      <c r="B72" s="0" t="inlineStr">
        <is>
          <t>라벨≠담보명 설계분</t>
        </is>
      </c>
      <c r="C72" s="0" t="inlineStr">
        <is>
          <t>중대한CI적용</t>
        </is>
      </c>
    </row>
    <row r="73">
      <c r="A73" s="0" t="inlineStr">
        <is>
          <t>커버리지허용</t>
        </is>
      </c>
      <c r="B73" s="0" t="inlineStr">
        <is>
          <t>라벨≠담보명 설계분</t>
        </is>
      </c>
      <c r="C73" s="0" t="inlineStr">
        <is>
          <t>질병 종수술비(1-3종)</t>
        </is>
      </c>
    </row>
    <row r="74">
      <c r="A74" s="0" t="inlineStr">
        <is>
          <t>커버리지허용</t>
        </is>
      </c>
      <c r="B74" s="0" t="inlineStr">
        <is>
          <t>라벨≠담보명 설계분</t>
        </is>
      </c>
      <c r="C74" s="0" t="inlineStr">
        <is>
          <t>질병 종수술비(1-8종)</t>
        </is>
      </c>
    </row>
    <row r="75">
      <c r="A75" s="0" t="inlineStr">
        <is>
          <t>커버리지허용</t>
        </is>
      </c>
      <c r="B75" s="0" t="inlineStr">
        <is>
          <t>라벨≠담보명 설계분</t>
        </is>
      </c>
      <c r="C75" s="0" t="inlineStr">
        <is>
          <t>통원</t>
        </is>
      </c>
    </row>
    <row r="76">
      <c r="A76" s="0" t="inlineStr">
        <is>
          <t>커버리지허용</t>
        </is>
      </c>
      <c r="B76" s="0" t="inlineStr">
        <is>
          <t>라벨≠담보명 설계분</t>
        </is>
      </c>
      <c r="C76" s="0" t="inlineStr">
        <is>
          <t>항암방사선약물</t>
        </is>
      </c>
    </row>
    <row r="77">
      <c r="A77" s="0" t="inlineStr">
        <is>
          <t>케이스</t>
        </is>
      </c>
      <c r="B77" s="0" t="inlineStr">
        <is>
          <t>§8.2 암·유사암(v248·v197·v227)</t>
        </is>
      </c>
      <c r="C77" s="0" t="inlineStr">
        <is>
          <t>통합암진단비</t>
        </is>
      </c>
      <c r="D77" s="0" t="inlineStr">
        <is>
          <t>통합암</t>
        </is>
      </c>
    </row>
    <row r="78">
      <c r="A78" s="0" t="inlineStr">
        <is>
          <t>케이스</t>
        </is>
      </c>
      <c r="B78" s="0" t="inlineStr">
        <is>
          <t>§8.2 암·유사암(v248·v197·v227)</t>
        </is>
      </c>
      <c r="C78" s="0" t="inlineStr">
        <is>
          <t>통합전이암진단비</t>
        </is>
      </c>
      <c r="D78" s="0" t="inlineStr">
        <is>
          <t>통합전이암</t>
        </is>
      </c>
    </row>
    <row r="79">
      <c r="A79" s="0" t="inlineStr">
        <is>
          <t>케이스</t>
        </is>
      </c>
      <c r="B79" s="0" t="inlineStr">
        <is>
          <t>§8.2 암·유사암(v248·v197·v227)</t>
        </is>
      </c>
      <c r="C79" s="0" t="inlineStr">
        <is>
          <t>플래티넘 건강 리셋월렛II</t>
        </is>
      </c>
      <c r="D79" s="0" t="inlineStr">
        <is>
          <t>10억 플랜</t>
        </is>
      </c>
    </row>
    <row r="80">
      <c r="A80" s="0" t="inlineStr">
        <is>
          <t>커버리지허용</t>
        </is>
      </c>
      <c r="B80" s="0" t="inlineStr">
        <is>
          <t>라벨≠담보명 설계분</t>
        </is>
      </c>
      <c r="C80" s="0" t="inlineStr">
        <is>
          <t>10억 플랜</t>
        </is>
      </c>
      <c r="E80" s="0" t="inlineStr">
        <is>
          <t>담보명은 흥국 리셋월렛II — 라벨로는 자기 행 복귀 안 됨(정상)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6" customWidth="1" style="77" min="1" max="1"/>
    <col width="74" customWidth="1" style="77" min="2" max="2"/>
    <col width="38" customWidth="1" style="77" min="3" max="3"/>
    <col width="44" customWidth="1" style="77" min="4" max="4"/>
  </cols>
  <sheetData>
    <row r="1" ht="19.15" customHeight="1" s="77">
      <c r="A1" s="82" t="inlineStr">
        <is>
          <t>★ 이 시트가 「관점」의 정본이다. 지침을 어떻게 읽을지를 여기서 고정한다. 앱이 매 분석마다 확인사항 시트 하단에 이 원문을 그대로 출력한다.</t>
        </is>
      </c>
    </row>
    <row r="2">
      <c r="A2" s="0" t="inlineStr">
        <is>
          <t>사용법 : 지점장이 B열에 원칙을 문장으로 적는다. Claude는 이 문장을 요약·재구성하지 않고 그대로 인용해야 한다. 행 추가만 하면 되고 코드 수정은 필요 없다.</t>
        </is>
      </c>
    </row>
    <row r="4">
      <c r="A4" s="83" t="inlineStr">
        <is>
          <t>No</t>
        </is>
      </c>
      <c r="B4" s="83" t="inlineStr">
        <is>
          <t>원칙 (지점장 원문 — 그대로 쓴다)</t>
        </is>
      </c>
      <c r="C4" s="83" t="inlineStr">
        <is>
          <t>위반하면</t>
        </is>
      </c>
      <c r="D4" s="83" t="inlineStr">
        <is>
          <t>근거·사례</t>
        </is>
      </c>
    </row>
    <row r="5" ht="31.9" customHeight="1" s="77">
      <c r="A5" s="0" t="n">
        <v>1</v>
      </c>
      <c r="B5" s="80" t="inlineStr">
        <is>
          <t>지점장이 준 자료는 문구·코드를 그대로 쓴다. 요약·재구성하거나 해설 주석을 덧붙이지 않는다.</t>
        </is>
      </c>
      <c r="C5" s="80" t="inlineStr">
        <is>
          <t>최종본과 달라 보여 같은 매핑을 반복해 틀린다</t>
        </is>
      </c>
      <c r="D5" s="80" t="inlineStr">
        <is>
          <t>정본 관리 3원칙 ① · 2026.07.18 심장 매핑 4회 오류</t>
        </is>
      </c>
    </row>
    <row r="6" ht="31.9" customHeight="1" s="77">
      <c r="A6" s="0" t="n">
        <v>2</v>
      </c>
      <c r="B6" s="80" t="inlineStr">
        <is>
          <t>지침에 없으면 추측하지 않는다 — 빈칸으로 두고 [확인]큐로 보낸다.</t>
        </is>
      </c>
      <c r="C6" s="80" t="inlineStr">
        <is>
          <t>내 판단이 정본인 것처럼 산출물에 박힌다</t>
        </is>
      </c>
      <c r="D6" s="80" t="inlineStr">
        <is>
          <t>§0 "모르면 빈칸+[확인], 추측 금지"</t>
        </is>
      </c>
    </row>
    <row r="7" ht="31.9" customHeight="1" s="77">
      <c r="A7" s="0" t="n">
        <v>3</v>
      </c>
      <c r="B7" s="80" t="inlineStr">
        <is>
          <t>범위를 넓히려면 먼저 물어본다. 지점장이 두 개를 말했으면 두 개만 넣는다.</t>
        </is>
      </c>
      <c r="C7" s="80" t="inlineStr">
        <is>
          <t>"나는 그걸 말한 적이 없다" — 임의 확장</t>
        </is>
      </c>
      <c r="D7" s="80" t="inlineStr">
        <is>
          <t>(0f) 상해·재해 외에 교통·외래·대중교통까지 확장</t>
        </is>
      </c>
    </row>
    <row r="8" ht="31.9" customHeight="1" s="77">
      <c r="A8" s="0" t="n">
        <v>4</v>
      </c>
      <c r="B8" s="80" t="inlineStr">
        <is>
          <t>지침이 바뀌면 옛 내용을 남기지 말고 지운다. 세트로 내려온 지시는 전부 폐기·교체한다.</t>
        </is>
      </c>
      <c r="C8" s="80" t="inlineStr">
        <is>
          <t>옛 규칙이 살아남아 그대로 나간다</t>
        </is>
      </c>
      <c r="D8" s="80" t="inlineStr">
        <is>
          <t>정본 관리 3원칙 ② · 빈맥 규칙이 4곳에 잔존</t>
        </is>
      </c>
    </row>
    <row r="9" ht="31.9" customHeight="1" s="77">
      <c r="A9" s="0" t="n">
        <v>5</v>
      </c>
      <c r="B9" s="80" t="inlineStr">
        <is>
          <t>같은 데이터가 여러 곳에 있다 — 전수 수정하고 마지막에 옛 문구 잔재를 스캔한다.</t>
        </is>
      </c>
      <c r="C9" s="80" t="inlineStr">
        <is>
          <t>반쪽 수정 — 한 곳만 고쳐 불일치가 남는다</t>
        </is>
      </c>
      <c r="D9" s="80" t="inlineStr">
        <is>
          <t>정본 관리 3원칙 ③ · v210 색 규칙 3군데</t>
        </is>
      </c>
    </row>
    <row r="10" ht="31.9" customHeight="1" s="77">
      <c r="A10" s="0" t="n">
        <v>6</v>
      </c>
      <c r="B10" s="80" t="inlineStr">
        <is>
          <t>규칙 두 개가 같은 값을 만지면 나중 것이 앞 것을 죽인다. 새 규칙 전에 같은 셀을 쓰는 기존 규칙을 확인한다.</t>
        </is>
      </c>
      <c r="C10" s="80" t="inlineStr">
        <is>
          <t>조용히 겹쳐 박히거나 앞 규칙이 무효가 된다</t>
        </is>
      </c>
      <c r="D10" s="80" t="inlineStr">
        <is>
          <t>v245가 v240을 되돌림 · v266 중복 적용</t>
        </is>
      </c>
    </row>
    <row r="11" ht="31.9" customHeight="1" s="77">
      <c r="A11" s="0" t="n">
        <v>7</v>
      </c>
      <c r="B11" s="80" t="inlineStr">
        <is>
          <t>직접 열어본 것만 "~이다"라고 쓴다. 안 본 것은 "가설"이라 명시한다. 측정하지 않은 수치는 말하지 않는다.</t>
        </is>
      </c>
      <c r="C11" s="80" t="inlineStr">
        <is>
          <t>틀린 단정이 사실로 굳는다</t>
        </is>
      </c>
      <c r="D11" s="80" t="inlineStr">
        <is>
          <t>(0a) · 2026.07.31 "v307은 존재하지 않는다" 오단정</t>
        </is>
      </c>
    </row>
    <row r="12" ht="31.9" customHeight="1" s="77">
      <c r="A12" s="0" t="n">
        <v>8</v>
      </c>
      <c r="B12" s="80" t="inlineStr">
        <is>
          <t>고장난 기능은 고치는 것이다 — 선택지로 만들어 지점장께 결정을 넘기지 않는다.</t>
        </is>
      </c>
      <c r="C12" s="80" t="inlineStr">
        <is>
          <t>보고가 아니라 결정 위임이 된다</t>
        </is>
      </c>
      <c r="D12" s="80" t="inlineStr">
        <is>
          <t>(0f) ci_sebu를 3선택지로 포장</t>
        </is>
      </c>
    </row>
    <row r="13" ht="31.9" customHeight="1" s="77">
      <c r="A13" s="0" t="n">
        <v>9</v>
      </c>
      <c r="B13" s="80" t="inlineStr">
        <is>
          <t>못 한 검증은 "못 했다"고 쓴다. 결과물만 올리지 않고 실행 과정을 보여준다.</t>
        </is>
      </c>
      <c r="C13" s="80" t="inlineStr">
        <is>
          <t>"지침 돌렸다"는 말만 남고 실제로 안 돌아간다</t>
        </is>
      </c>
      <c r="D13" s="80" t="inlineStr">
        <is>
          <t>(0e) "왜 결과물만 올리냐"</t>
        </is>
      </c>
    </row>
    <row r="14" ht="31.9" customHeight="1" s="77">
      <c r="A14" s="0" t="n">
        <v>10</v>
      </c>
      <c r="B14" s="80" t="inlineStr">
        <is>
          <t>규칙 하나를 고치면 2열(롯데)·3열(KB) 두 경로를 반드시 다 돌린다.</t>
        </is>
      </c>
      <c r="C14" s="80" t="inlineStr">
        <is>
          <t>한 경로만 고쳐 다른 경로가 조용히 깨진다</t>
        </is>
      </c>
      <c r="D14" s="80" t="inlineStr">
        <is>
          <t>제출 전 체크리스트 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2026-10-09T07:41:14Z</dcterms:modified>
  <cp:lastModifiedBy>은혜 최</cp:lastModifiedBy>
  <cp:revision>0</cp:revision>
  <cp:lastPrinted>2026-05-12T16:05:05Z</cp:lastPrinted>
</cp:coreProperties>
</file>