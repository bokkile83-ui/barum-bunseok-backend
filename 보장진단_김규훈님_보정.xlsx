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보장분석" sheetId="1" state="visible" r:id="rId3"/>
    <sheet name="법칙" sheetId="2" state="visible" r:id="rId4"/>
    <sheet name="📋확인사항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<sst xmlns="http://schemas.openxmlformats.org/spreadsheetml/2006/main" count="239" uniqueCount="197">
  <si>
    <t xml:space="preserve">김규훈님 보장진단</t>
  </si>
  <si>
    <r>
      <rPr>
        <b val="true"/>
        <sz val="9"/>
        <color rgb="FFFFFFFF"/>
        <rFont val="맑은 고딕"/>
        <family val="0"/>
        <charset val="1"/>
      </rPr>
      <t xml:space="preserve">AIA</t>
    </r>
    <r>
      <rPr>
        <b val="true"/>
        <sz val="9"/>
        <color rgb="FFFFFFFF"/>
        <rFont val="Noto Sans CJK SC"/>
        <family val="2"/>
      </rPr>
      <t xml:space="preserve">생명
（무） </t>
    </r>
    <r>
      <rPr>
        <b val="true"/>
        <sz val="9"/>
        <color rgb="FFFFFFFF"/>
        <rFont val="맑은 고딕"/>
        <family val="0"/>
        <charset val="1"/>
      </rPr>
      <t xml:space="preserve">A I G </t>
    </r>
    <r>
      <rPr>
        <b val="true"/>
        <sz val="9"/>
        <color rgb="FFFFFFFF"/>
        <rFont val="Noto Sans CJK SC"/>
        <family val="2"/>
      </rPr>
      <t xml:space="preserve">원스톱암 </t>
    </r>
    <r>
      <rPr>
        <b val="true"/>
        <sz val="9"/>
        <color rgb="FFFFFFFF"/>
        <rFont val="맑은 고딕"/>
        <family val="0"/>
        <charset val="1"/>
      </rPr>
      <t xml:space="preserve">I I 2 </t>
    </r>
    <r>
      <rPr>
        <b val="true"/>
        <sz val="9"/>
        <color rgb="FFFFFFFF"/>
        <rFont val="Noto Sans CJK SC"/>
        <family val="2"/>
      </rPr>
      <t xml:space="preserve">형
</t>
    </r>
    <r>
      <rPr>
        <b val="true"/>
        <sz val="9"/>
        <color rgb="FFFFFFFF"/>
        <rFont val="맑은 고딕"/>
        <family val="0"/>
        <charset val="1"/>
      </rPr>
      <t xml:space="preserve">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</si>
  <si>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r>
      <rPr>
        <b val="true"/>
        <sz val="9"/>
        <color rgb="FFFFFFFF"/>
        <rFont val="Noto Sans CJK SC"/>
        <family val="2"/>
      </rPr>
      <t xml:space="preserve">한화손보
한화 운전자상해보험 무배당</t>
    </r>
    <r>
      <rPr>
        <b val="true"/>
        <sz val="9"/>
        <color rgb="FFFFFFFF"/>
        <rFont val="맑은 고딕"/>
        <family val="0"/>
        <charset val="1"/>
      </rPr>
      <t xml:space="preserve">2504
[</t>
    </r>
    <r>
      <rPr>
        <b val="true"/>
        <sz val="9"/>
        <color rgb="FFFFFFFF"/>
        <rFont val="Noto Sans CJK SC"/>
        <family val="2"/>
      </rPr>
      <t xml:space="preserve">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</si>
  <si>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r>
      <rPr>
        <b val="true"/>
        <sz val="9"/>
        <color rgb="FFFFFFFF"/>
        <rFont val="Noto Sans CJK SC"/>
        <family val="2"/>
      </rPr>
      <t xml:space="preserve">납삼성화재
무배당 삼성</t>
    </r>
    <r>
      <rPr>
        <b val="true"/>
        <sz val="9"/>
        <color rgb="FFFFFFFF"/>
        <rFont val="맑은 고딕"/>
        <family val="0"/>
        <charset val="1"/>
      </rPr>
      <t xml:space="preserve">80</t>
    </r>
    <r>
      <rPr>
        <b val="true"/>
        <sz val="9"/>
        <color rgb="FFFFFFFF"/>
        <rFont val="Noto Sans CJK SC"/>
        <family val="2"/>
      </rPr>
      <t xml:space="preserve">평생보험 </t>
    </r>
    <r>
      <rPr>
        <b val="true"/>
        <sz val="9"/>
        <color rgb="FFFFFFFF"/>
        <rFont val="맑은 고딕"/>
        <family val="0"/>
        <charset val="1"/>
      </rPr>
      <t xml:space="preserve">III
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]
(4</t>
    </r>
    <r>
      <rPr>
        <b val="true"/>
        <sz val="9"/>
        <color rgb="FFFFFFFF"/>
        <rFont val="Noto Sans CJK SC"/>
        <family val="2"/>
      </rPr>
      <t xml:space="preserve">세대 실손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</si>
  <si>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맑은 고딕"/>
        <family val="0"/>
        <charset val="1"/>
      </rPr>
      <t xml:space="preserve">KB</t>
    </r>
    <r>
      <rPr>
        <b val="true"/>
        <sz val="9"/>
        <color rgb="FFFFFFFF"/>
        <rFont val="Noto Sans CJK SC"/>
        <family val="2"/>
      </rPr>
      <t xml:space="preserve">손보
</t>
    </r>
    <r>
      <rPr>
        <b val="true"/>
        <sz val="9"/>
        <color rgb="FFFFFFFF"/>
        <rFont val="맑은 고딕"/>
        <family val="0"/>
        <charset val="1"/>
      </rPr>
      <t xml:space="preserve">KB 3.3.5 </t>
    </r>
    <r>
      <rPr>
        <b val="true"/>
        <sz val="9"/>
        <color rgb="FFFFFFFF"/>
        <rFont val="Noto Sans CJK SC"/>
        <family val="2"/>
      </rPr>
      <t xml:space="preserve">슬기로운 간편건강보험</t>
    </r>
    <r>
      <rPr>
        <b val="true"/>
        <sz val="9"/>
        <color rgb="FFFFFFFF"/>
        <rFont val="맑은 고딕"/>
        <family val="0"/>
        <charset val="1"/>
      </rPr>
      <t xml:space="preserve">Plus</t>
    </r>
    <r>
      <rPr>
        <b val="true"/>
        <sz val="9"/>
        <color rgb="FFFFFFFF"/>
        <rFont val="Noto Sans CJK SC"/>
        <family val="2"/>
      </rPr>
      <t xml:space="preserve">（무배당）（</t>
    </r>
    <r>
      <rPr>
        <b val="true"/>
        <sz val="9"/>
        <color rgb="FFFFFFFF"/>
        <rFont val="맑은 고딕"/>
        <family val="0"/>
        <charset val="1"/>
      </rPr>
      <t xml:space="preserve">23.07</t>
    </r>
    <r>
      <rPr>
        <b val="true"/>
        <sz val="9"/>
        <color rgb="FFFFFFFF"/>
        <rFont val="Noto Sans CJK SC"/>
        <family val="2"/>
      </rPr>
      <t xml:space="preserve">）
</t>
    </r>
    <r>
      <rPr>
        <b val="true"/>
        <sz val="9"/>
        <color rgb="FFFFFFFF"/>
        <rFont val="맑은 고딕"/>
        <family val="0"/>
        <charset val="1"/>
      </rPr>
      <t xml:space="preserve">[</t>
    </r>
    <r>
      <rPr>
        <b val="true"/>
        <sz val="9"/>
        <color rgb="FFFFFFFF"/>
        <rFont val="Noto Sans CJK SC"/>
        <family val="2"/>
      </rPr>
      <t xml:space="preserve">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</si>
  <si>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t xml:space="preserve">합계</t>
  </si>
  <si>
    <t xml:space="preserve">보험료</t>
  </si>
  <si>
    <t xml:space="preserve">가입년일</t>
  </si>
  <si>
    <t xml:space="preserve">2006.02.14</t>
  </si>
  <si>
    <t xml:space="preserve">2025.12.02</t>
  </si>
  <si>
    <t xml:space="preserve">2022.09.17</t>
  </si>
  <si>
    <t xml:space="preserve">2023.07.25</t>
  </si>
  <si>
    <t xml:space="preserve">만기일자</t>
  </si>
  <si>
    <t xml:space="preserve">2042.02.14</t>
  </si>
  <si>
    <t xml:space="preserve">2045.12.02</t>
  </si>
  <si>
    <t xml:space="preserve">2022.09.18</t>
  </si>
  <si>
    <t xml:space="preserve">2071.07.25</t>
  </si>
  <si>
    <t xml:space="preserve">총납입기간</t>
  </si>
  <si>
    <r>
      <rPr>
        <sz val="9"/>
        <color rgb="FF000000"/>
        <rFont val="맑은 고딕"/>
        <family val="0"/>
        <charset val="1"/>
      </rPr>
      <t xml:space="preserve">20</t>
    </r>
    <r>
      <rPr>
        <sz val="9"/>
        <color rgb="FF000000"/>
        <rFont val="Noto Sans CJK SC"/>
        <family val="2"/>
      </rPr>
      <t xml:space="preserve">년납 </t>
    </r>
    <r>
      <rPr>
        <sz val="9"/>
        <color rgb="FF000000"/>
        <rFont val="맑은 고딕"/>
        <family val="0"/>
        <charset val="1"/>
      </rPr>
      <t xml:space="preserve">(240/240)</t>
    </r>
  </si>
  <si>
    <r>
      <rPr>
        <sz val="9"/>
        <color rgb="FF0070C0"/>
        <rFont val="맑은 고딕"/>
        <family val="0"/>
        <charset val="1"/>
      </rPr>
      <t xml:space="preserve">20</t>
    </r>
    <r>
      <rPr>
        <sz val="9"/>
        <color rgb="FF0070C0"/>
        <rFont val="Noto Sans CJK SC"/>
        <family val="2"/>
      </rPr>
      <t xml:space="preserve">년납 </t>
    </r>
    <r>
      <rPr>
        <sz val="9"/>
        <color rgb="FF0070C0"/>
        <rFont val="맑은 고딕"/>
        <family val="0"/>
        <charset val="1"/>
      </rPr>
      <t xml:space="preserve">(8/240)</t>
    </r>
  </si>
  <si>
    <r>
      <rPr>
        <sz val="9"/>
        <color rgb="FF000000"/>
        <rFont val="맑은 고딕"/>
        <family val="0"/>
        <charset val="1"/>
      </rPr>
      <t xml:space="preserve">25</t>
    </r>
    <r>
      <rPr>
        <sz val="9"/>
        <color rgb="FF000000"/>
        <rFont val="Noto Sans CJK SC"/>
        <family val="2"/>
      </rPr>
      <t xml:space="preserve">년납 </t>
    </r>
    <r>
      <rPr>
        <sz val="9"/>
        <color rgb="FF000000"/>
        <rFont val="맑은 고딕"/>
        <family val="0"/>
        <charset val="1"/>
      </rPr>
      <t xml:space="preserve">()</t>
    </r>
  </si>
  <si>
    <r>
      <rPr>
        <sz val="9"/>
        <color rgb="FF0070C0"/>
        <rFont val="맑은 고딕"/>
        <family val="0"/>
        <charset val="1"/>
      </rPr>
      <t xml:space="preserve">20</t>
    </r>
    <r>
      <rPr>
        <sz val="9"/>
        <color rgb="FF0070C0"/>
        <rFont val="Noto Sans CJK SC"/>
        <family val="2"/>
      </rPr>
      <t xml:space="preserve">년납 </t>
    </r>
    <r>
      <rPr>
        <sz val="9"/>
        <color rgb="FF0070C0"/>
        <rFont val="맑은 고딕"/>
        <family val="0"/>
        <charset val="1"/>
      </rPr>
      <t xml:space="preserve">(36/240)</t>
    </r>
  </si>
  <si>
    <t xml:space="preserve">사망</t>
  </si>
  <si>
    <t xml:space="preserve">일반사망</t>
  </si>
  <si>
    <t xml:space="preserve">중대한CI적용</t>
  </si>
  <si>
    <t xml:space="preserve">질병사망(80세)</t>
  </si>
  <si>
    <t xml:space="preserve">교통상해사망</t>
  </si>
  <si>
    <t xml:space="preserve">상해사망</t>
  </si>
  <si>
    <t xml:space="preserve">후유장애</t>
  </si>
  <si>
    <t xml:space="preserve">상해후유3%</t>
  </si>
  <si>
    <t xml:space="preserve">상해후유80%</t>
  </si>
  <si>
    <t xml:space="preserve">질병후유3%</t>
  </si>
  <si>
    <t xml:space="preserve">질병후유80%</t>
  </si>
  <si>
    <t xml:space="preserve">암</t>
  </si>
  <si>
    <t xml:space="preserve">고액암</t>
  </si>
  <si>
    <t xml:space="preserve">일반암</t>
  </si>
  <si>
    <t xml:space="preserve">중대한 암</t>
  </si>
  <si>
    <t xml:space="preserve">유사암(갑.기.경.제)</t>
  </si>
  <si>
    <t xml:space="preserve">통합전이암</t>
  </si>
  <si>
    <t xml:space="preserve">암주요치료비</t>
  </si>
  <si>
    <t xml:space="preserve">하이클래스(암)</t>
  </si>
  <si>
    <t xml:space="preserve">중입자치료비</t>
  </si>
  <si>
    <t xml:space="preserve">표적항암치료비</t>
  </si>
  <si>
    <t xml:space="preserve">양성자치료</t>
  </si>
  <si>
    <t xml:space="preserve">세기조절치료</t>
  </si>
  <si>
    <t xml:space="preserve">다빈치로봇수술비</t>
  </si>
  <si>
    <t xml:space="preserve">암수술</t>
  </si>
  <si>
    <t xml:space="preserve">암일당</t>
  </si>
  <si>
    <t xml:space="preserve">항암방사선약물</t>
  </si>
  <si>
    <t xml:space="preserve">뇌혈관</t>
  </si>
  <si>
    <t xml:space="preserve">뇌혈관진단비</t>
  </si>
  <si>
    <t xml:space="preserve">뇌졸증진단비</t>
  </si>
  <si>
    <t xml:space="preserve">중대한 뇌졸증</t>
  </si>
  <si>
    <t xml:space="preserve">뇌출혈진단비</t>
  </si>
  <si>
    <t xml:space="preserve">외상성뇌출혈</t>
  </si>
  <si>
    <t xml:space="preserve">산정특례뇌혈관</t>
  </si>
  <si>
    <t xml:space="preserve">2대 주요치료비</t>
  </si>
  <si>
    <t xml:space="preserve">혈전용해치료비</t>
  </si>
  <si>
    <t xml:space="preserve">심장</t>
  </si>
  <si>
    <t xml:space="preserve">협심증</t>
  </si>
  <si>
    <t xml:space="preserve">심부전</t>
  </si>
  <si>
    <t xml:space="preserve">빈맥</t>
  </si>
  <si>
    <t xml:space="preserve">염증</t>
  </si>
  <si>
    <t xml:space="preserve">부정맥</t>
  </si>
  <si>
    <t xml:space="preserve">심근병증</t>
  </si>
  <si>
    <t xml:space="preserve">심장판막</t>
  </si>
  <si>
    <t xml:space="preserve">산정특례심장</t>
  </si>
  <si>
    <r>
      <rPr>
        <b val="true"/>
        <sz val="9"/>
        <color rgb="FF000000"/>
        <rFont val="맑은 고딕"/>
        <family val="3"/>
        <charset val="129"/>
      </rPr>
      <t xml:space="preserve">2</t>
    </r>
    <r>
      <rPr>
        <b val="true"/>
        <sz val="9"/>
        <color rgb="FF000000"/>
        <rFont val="Noto Sans CJK SC"/>
        <family val="2"/>
      </rPr>
      <t xml:space="preserve">대 주요치료비</t>
    </r>
  </si>
  <si>
    <t xml:space="preserve">허혈성 진단비</t>
  </si>
  <si>
    <t xml:space="preserve">급성심근경색</t>
  </si>
  <si>
    <t xml:space="preserve">중대한 급성심근</t>
  </si>
  <si>
    <t xml:space="preserve">일당</t>
  </si>
  <si>
    <t xml:space="preserve">질병일당</t>
  </si>
  <si>
    <t xml:space="preserve">질병수술일당</t>
  </si>
  <si>
    <t xml:space="preserve">질병종합병원일당</t>
  </si>
  <si>
    <t xml:space="preserve">상해일당</t>
  </si>
  <si>
    <t xml:space="preserve">상해수술일당</t>
  </si>
  <si>
    <t xml:space="preserve">간병인</t>
  </si>
  <si>
    <t xml:space="preserve">간병인지원일당</t>
  </si>
  <si>
    <t xml:space="preserve">간호통합병동</t>
  </si>
  <si>
    <r>
      <rPr>
        <b val="true"/>
        <sz val="9"/>
        <color rgb="FF000000"/>
        <rFont val="맑은 고딕"/>
        <family val="3"/>
        <charset val="129"/>
      </rPr>
      <t xml:space="preserve">1</t>
    </r>
    <r>
      <rPr>
        <b val="true"/>
        <sz val="9"/>
        <color rgb="FF000000"/>
        <rFont val="Noto Sans CJK SC"/>
        <family val="2"/>
      </rPr>
      <t xml:space="preserve">인실 종합병원</t>
    </r>
  </si>
  <si>
    <r>
      <rPr>
        <b val="true"/>
        <sz val="9"/>
        <color rgb="FF000000"/>
        <rFont val="맑은 고딕"/>
        <family val="3"/>
        <charset val="129"/>
      </rPr>
      <t xml:space="preserve">1</t>
    </r>
    <r>
      <rPr>
        <b val="true"/>
        <sz val="9"/>
        <color rgb="FF000000"/>
        <rFont val="Noto Sans CJK SC"/>
        <family val="2"/>
      </rPr>
      <t xml:space="preserve">인실 상급병원</t>
    </r>
  </si>
  <si>
    <t xml:space="preserve">질병중환자실</t>
  </si>
  <si>
    <t xml:space="preserve">상해중환자실</t>
  </si>
  <si>
    <t xml:space="preserve">수술</t>
  </si>
  <si>
    <t xml:space="preserve">상해수술비</t>
  </si>
  <si>
    <t xml:space="preserve">중대한상해수술비</t>
  </si>
  <si>
    <t xml:space="preserve">상해 종수술비(1-5종)</t>
  </si>
  <si>
    <t xml:space="preserve">상해 종수술비(1-8종)</t>
  </si>
  <si>
    <t xml:space="preserve">창상봉합술</t>
  </si>
  <si>
    <t xml:space="preserve">골절수술비</t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</si>
  <si>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Noto Sans CJK SC"/>
        <family val="2"/>
      </rPr>
      <t xml:space="preserve">대골절수술비</t>
    </r>
  </si>
  <si>
    <t xml:space="preserve">화상수술비</t>
  </si>
  <si>
    <t xml:space="preserve">질병수술비</t>
  </si>
  <si>
    <t xml:space="preserve">질병 종수술비(1-5종)</t>
  </si>
  <si>
    <t xml:space="preserve">질병 종수술비(1-8종)</t>
  </si>
  <si>
    <t xml:space="preserve">뇌혈관수술비</t>
  </si>
  <si>
    <t xml:space="preserve">허혈성수술비</t>
  </si>
  <si>
    <t xml:space="preserve">심장수술비</t>
  </si>
  <si>
    <r>
      <rPr>
        <b val="true"/>
        <sz val="9"/>
        <color rgb="FF000000"/>
        <rFont val="맑은 고딕"/>
        <family val="3"/>
        <charset val="129"/>
      </rPr>
      <t xml:space="preserve">120</t>
    </r>
    <r>
      <rPr>
        <b val="true"/>
        <sz val="9"/>
        <color rgb="FF000000"/>
        <rFont val="Noto Sans CJK SC"/>
        <family val="2"/>
      </rPr>
      <t xml:space="preserve">대수술비</t>
    </r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</si>
  <si>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Noto Sans CJK SC"/>
        <family val="2"/>
      </rPr>
      <t xml:space="preserve">대기관 수술비 관혈</t>
    </r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</si>
  <si>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Noto Sans CJK SC"/>
        <family val="2"/>
      </rPr>
      <t xml:space="preserve">대기관 수술비 비관혈</t>
    </r>
  </si>
  <si>
    <t xml:space="preserve">운전</t>
  </si>
  <si>
    <t xml:space="preserve">대인</t>
  </si>
  <si>
    <t xml:space="preserve">대물</t>
  </si>
  <si>
    <t xml:space="preserve">합의금</t>
  </si>
  <si>
    <r>
      <rPr>
        <b val="true"/>
        <sz val="9"/>
        <color rgb="FF000000"/>
        <rFont val="맑은 고딕"/>
        <family val="3"/>
        <charset val="129"/>
      </rPr>
      <t xml:space="preserve">6</t>
    </r>
    <r>
      <rPr>
        <b val="true"/>
        <sz val="9"/>
        <color rgb="FF000000"/>
        <rFont val="Noto Sans CJK SC"/>
        <family val="2"/>
      </rPr>
      <t xml:space="preserve">주미만</t>
    </r>
  </si>
  <si>
    <t xml:space="preserve">변호사</t>
  </si>
  <si>
    <t xml:space="preserve">자부상</t>
  </si>
  <si>
    <t xml:space="preserve">골절</t>
  </si>
  <si>
    <t xml:space="preserve">골절(치아파절포함)</t>
  </si>
  <si>
    <t xml:space="preserve">골절(치아파절제외)</t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</si>
  <si>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Noto Sans CJK SC"/>
        <family val="2"/>
      </rPr>
      <t xml:space="preserve">대골절진단비</t>
    </r>
  </si>
  <si>
    <t xml:space="preserve">응급실</t>
  </si>
  <si>
    <t xml:space="preserve">응급실(응급)</t>
  </si>
  <si>
    <t xml:space="preserve">독감</t>
  </si>
  <si>
    <t xml:space="preserve">화상</t>
  </si>
  <si>
    <t xml:space="preserve">화상진단비</t>
  </si>
  <si>
    <t xml:space="preserve">중증화상진단비</t>
  </si>
  <si>
    <t xml:space="preserve">깁스</t>
  </si>
  <si>
    <t xml:space="preserve">반깁스</t>
  </si>
  <si>
    <t xml:space="preserve">깁스진단비</t>
  </si>
  <si>
    <t xml:space="preserve">실손</t>
  </si>
  <si>
    <t xml:space="preserve">입원</t>
  </si>
  <si>
    <t xml:space="preserve">통원</t>
  </si>
  <si>
    <t xml:space="preserve">약값</t>
  </si>
  <si>
    <t xml:space="preserve">MRI/도수치료/비급여주사</t>
  </si>
  <si>
    <t xml:space="preserve">일배책</t>
  </si>
  <si>
    <t xml:space="preserve">일상배상책임</t>
  </si>
  <si>
    <t xml:space="preserve">바름 보장분석 법칙 v2 — 이 표본에 내장 (2026.06.09)</t>
  </si>
  <si>
    <t xml:space="preserve">1</t>
  </si>
  <si>
    <t xml:space="preserve">폼 무변형: 이 표본을 열어 값만 채운다. 새 워크북·행삭제·카테고리축소 금지. 추가만(그룹 안 행삽입), 표 밖 금지.</t>
  </si>
  <si>
    <t xml:space="preserve">2</t>
  </si>
  <si>
    <t xml:space="preserve">새 고객 입력 시 이전 고객 값 전부 zero화(이 표본에서 새로 시작).</t>
  </si>
  <si>
    <t xml:space="preserve">3</t>
  </si>
  <si>
    <t xml:space="preserve">열=계약(최대 50). 행=담보(15구분·82행). 끝열=합계.</t>
  </si>
  <si>
    <t xml:space="preserve">4</t>
  </si>
  <si>
    <t xml:space="preserve">합계 = 세로(계약별) SUM. 4페이지 한장보장 값을 합계칸 직박음 금지(눈속임). 계약별 칸을 채워야 합계가 산다.</t>
  </si>
  <si>
    <t xml:space="preserve">5</t>
  </si>
  <si>
    <t xml:space="preserve">계약별 대조 필수: A담보가 B회사 칸으로 가면 안 됨.</t>
  </si>
  <si>
    <t xml:space="preserve">6</t>
  </si>
  <si>
    <r>
      <rPr>
        <sz val="11"/>
        <color rgb="FF000000"/>
        <rFont val="맑은 고딕"/>
        <family val="3"/>
        <charset val="129"/>
      </rPr>
      <t xml:space="preserve">1~5</t>
    </r>
    <r>
      <rPr>
        <sz val="11"/>
        <color rgb="FF000000"/>
        <rFont val="Noto Sans CJK SC"/>
        <family val="2"/>
      </rPr>
      <t xml:space="preserve">종 수술비 </t>
    </r>
    <r>
      <rPr>
        <sz val="11"/>
        <color rgb="FF000000"/>
        <rFont val="맑은 고딕"/>
        <family val="3"/>
        <charset val="129"/>
      </rPr>
      <t xml:space="preserve">= </t>
    </r>
    <r>
      <rPr>
        <sz val="11"/>
        <color rgb="FF000000"/>
        <rFont val="Noto Sans CJK SC"/>
        <family val="2"/>
      </rPr>
      <t xml:space="preserve">질병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상해 각 </t>
    </r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Noto Sans CJK SC"/>
        <family val="2"/>
      </rPr>
      <t xml:space="preserve">행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Noto Sans CJK SC"/>
        <family val="2"/>
      </rPr>
      <t xml:space="preserve">슬래시 가로표기 </t>
    </r>
    <r>
      <rPr>
        <sz val="11"/>
        <color rgb="FF000000"/>
        <rFont val="맑은 고딕"/>
        <family val="3"/>
        <charset val="129"/>
      </rPr>
      <t xml:space="preserve">"20/50/100/500/1000", </t>
    </r>
    <r>
      <rPr>
        <sz val="11"/>
        <color rgb="FF000000"/>
        <rFont val="Noto Sans CJK SC"/>
        <family val="2"/>
      </rPr>
      <t xml:space="preserve">합계도 종별</t>
    </r>
    <r>
      <rPr>
        <sz val="11"/>
        <color rgb="FF000000"/>
        <rFont val="맑은 고딕"/>
        <family val="3"/>
        <charset val="129"/>
      </rPr>
      <t xml:space="preserve">.</t>
    </r>
  </si>
  <si>
    <t xml:space="preserve">7</t>
  </si>
  <si>
    <t xml:space="preserve">갱신/비갱신: ①갱신형명시→갱신 ②운전자→비갱신 ③9999→비갱신 ④총회차240초과→비갱신 ⑤납입년수≠보장년수→비갱신.</t>
  </si>
  <si>
    <t xml:space="preserve">8</t>
  </si>
  <si>
    <t xml:space="preserve">색: 갱신=파랑 / 비갱신=검정 / 미가입=빨강. 구분셀=연두. 헤더 갱신블루·비갱신레드·완납진녹.</t>
  </si>
  <si>
    <t xml:space="preserve">9</t>
  </si>
  <si>
    <t xml:space="preserve">심장=담보명 직행(허혈성→허혈성칸, 전파금지). 불확정은 기재+[확인].</t>
  </si>
  <si>
    <t xml:space="preserve">10</t>
  </si>
  <si>
    <r>
      <rPr>
        <sz val="11"/>
        <color rgb="FF000000"/>
        <rFont val="맑은 고딕"/>
        <family val="3"/>
        <charset val="129"/>
      </rPr>
      <t xml:space="preserve">9999(</t>
    </r>
    <r>
      <rPr>
        <sz val="11"/>
        <color rgb="FF000000"/>
        <rFont val="Noto Sans CJK SC"/>
        <family val="2"/>
      </rPr>
      <t xml:space="preserve">생보</t>
    </r>
    <r>
      <rPr>
        <sz val="11"/>
        <color rgb="FF000000"/>
        <rFont val="맑은 고딕"/>
        <family val="3"/>
        <charset val="129"/>
      </rPr>
      <t xml:space="preserve">)=</t>
    </r>
    <r>
      <rPr>
        <sz val="11"/>
        <color rgb="FF000000"/>
        <rFont val="Noto Sans CJK SC"/>
        <family val="2"/>
      </rPr>
      <t xml:space="preserve">종신 → 일반사망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종신</t>
    </r>
    <r>
      <rPr>
        <sz val="11"/>
        <color rgb="FF000000"/>
        <rFont val="맑은 고딕"/>
        <family val="3"/>
        <charset val="129"/>
      </rPr>
      <t xml:space="preserve">)+</t>
    </r>
    <r>
      <rPr>
        <sz val="11"/>
        <color rgb="FF000000"/>
        <rFont val="Noto Sans CJK SC"/>
        <family val="2"/>
      </rPr>
      <t xml:space="preserve">상해사망</t>
    </r>
    <r>
      <rPr>
        <sz val="11"/>
        <color rgb="FF000000"/>
        <rFont val="맑은 고딕"/>
        <family val="3"/>
        <charset val="129"/>
      </rPr>
      <t xml:space="preserve">. </t>
    </r>
    <r>
      <rPr>
        <sz val="11"/>
        <color rgb="FF000000"/>
        <rFont val="Noto Sans CJK SC"/>
        <family val="2"/>
      </rPr>
      <t xml:space="preserve">손보 질병사망</t>
    </r>
    <r>
      <rPr>
        <sz val="11"/>
        <color rgb="FF000000"/>
        <rFont val="맑은 고딕"/>
        <family val="3"/>
        <charset val="129"/>
      </rPr>
      <t xml:space="preserve">=80</t>
    </r>
    <r>
      <rPr>
        <sz val="11"/>
        <color rgb="FF000000"/>
        <rFont val="Noto Sans CJK SC"/>
        <family val="2"/>
      </rPr>
      <t xml:space="preserve">세칸</t>
    </r>
    <r>
      <rPr>
        <sz val="11"/>
        <color rgb="FF000000"/>
        <rFont val="맑은 고딕"/>
        <family val="3"/>
        <charset val="129"/>
      </rPr>
      <t xml:space="preserve">.</t>
    </r>
  </si>
  <si>
    <t xml:space="preserve">11</t>
  </si>
  <si>
    <t xml:space="preserve">추측 금지: 모르면 빈칸+[확인]. 채우는 게 최악, 비우고 메모가 차선, 확정 기재가 최선. 자동천장 95%.</t>
  </si>
  <si>
    <t xml:space="preserve">12</t>
  </si>
  <si>
    <t xml:space="preserve">엑셀=원천, PPT는 완성 엑셀만 읽음(PDF→엑셀→PPT). 제출 전 렌더검수 통과한 것만.</t>
  </si>
  <si>
    <r>
      <rPr>
        <sz val="11"/>
        <color rgb="FF000000"/>
        <rFont val="Noto Sans CJK SC"/>
        <family val="2"/>
      </rPr>
      <t xml:space="preserve">김규훈님 </t>
    </r>
    <r>
      <rPr>
        <sz val="11"/>
        <color rgb="FF000000"/>
        <rFont val="맑은 고딕"/>
        <family val="3"/>
        <charset val="129"/>
      </rPr>
      <t xml:space="preserve">· </t>
    </r>
    <r>
      <rPr>
        <sz val="11"/>
        <color rgb="FF000000"/>
        <rFont val="Noto Sans CJK SC"/>
        <family val="2"/>
      </rPr>
      <t xml:space="preserve">자동분석 </t>
    </r>
    <r>
      <rPr>
        <sz val="11"/>
        <color rgb="FF000000"/>
        <rFont val="맑은 고딕"/>
        <family val="3"/>
        <charset val="129"/>
      </rPr>
      <t xml:space="preserve">2026.07.08</t>
    </r>
  </si>
  <si>
    <t xml:space="preserve">계약수</t>
  </si>
  <si>
    <t xml:space="preserve">월보험료합계</t>
  </si>
  <si>
    <r>
      <rPr>
        <sz val="11"/>
        <color rgb="FF000000"/>
        <rFont val="맑은 고딕"/>
        <family val="3"/>
        <charset val="129"/>
      </rPr>
      <t xml:space="preserve">114,551</t>
    </r>
    <r>
      <rPr>
        <sz val="11"/>
        <color rgb="FF000000"/>
        <rFont val="Noto Sans CJK SC"/>
        <family val="2"/>
      </rPr>
      <t xml:space="preserve">원</t>
    </r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</si>
  <si>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확인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자동매핑 실패 담보 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마스터 미수록 또는 약관 확인 후 수기 기재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</si>
  <si>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회사</t>
  </si>
  <si>
    <t xml:space="preserve">담보명</t>
  </si>
  <si>
    <r>
      <rPr>
        <sz val="11"/>
        <color rgb="FF000000"/>
        <rFont val="Noto Sans CJK SC"/>
        <family val="2"/>
      </rPr>
      <t xml:space="preserve">금액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만원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</si>
  <si>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보장범위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참고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</si>
  <si>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약관검색</t>
  </si>
  <si>
    <t xml:space="preserve">한화손보</t>
  </si>
  <si>
    <r>
      <rPr>
        <sz val="11"/>
        <color rgb="FF000000"/>
        <rFont val="Noto Sans CJK SC"/>
        <family val="2"/>
      </rPr>
      <t xml:space="preserve">보복운전피해보장 </t>
    </r>
    <r>
      <rPr>
        <sz val="11"/>
        <color rgb="FF000000"/>
        <rFont val="맑은 고딕"/>
        <family val="3"/>
        <charset val="129"/>
      </rPr>
      <t xml:space="preserve">II </t>
    </r>
    <r>
      <rPr>
        <sz val="11"/>
        <color rgb="FF000000"/>
        <rFont val="Noto Sans CJK SC"/>
        <family val="2"/>
      </rPr>
      <t xml:space="preserve">（자가용운전자용）</t>
    </r>
  </si>
  <si>
    <t xml:space="preserve">🔗약관검색</t>
  </si>
  <si>
    <r>
      <rPr>
        <sz val="11"/>
        <color rgb="FF000000"/>
        <rFont val="Noto Sans CJK SC"/>
        <family val="2"/>
      </rPr>
      <t xml:space="preserve">원격지사고시운반비용（실손</t>
    </r>
    <r>
      <rPr>
        <sz val="11"/>
        <color rgb="FF000000"/>
        <rFont val="맑은 고딕"/>
        <family val="3"/>
        <charset val="129"/>
      </rPr>
      <t xml:space="preserve">,2</t>
    </r>
    <r>
      <rPr>
        <sz val="11"/>
        <color rgb="FF000000"/>
        <rFont val="Noto Sans CJK SC"/>
        <family val="2"/>
      </rPr>
      <t xml:space="preserve">아</t>
    </r>
    <r>
      <rPr>
        <sz val="11"/>
        <color rgb="FF000000"/>
        <rFont val="맑은 고딕"/>
        <family val="3"/>
        <charset val="129"/>
      </rPr>
      <t xml:space="preserve">on </t>
    </r>
    <r>
      <rPr>
        <sz val="11"/>
        <color rgb="FF000000"/>
        <rFont val="Noto Sans CJK SC"/>
        <family val="2"/>
      </rPr>
      <t xml:space="preserve">초과</t>
    </r>
    <r>
      <rPr>
        <sz val="11"/>
        <color rgb="FF000000"/>
        <rFont val="맑은 고딕"/>
        <family val="3"/>
        <charset val="129"/>
      </rPr>
      <t xml:space="preserve">,</t>
    </r>
    <r>
      <rPr>
        <sz val="11"/>
        <color rgb="FF000000"/>
        <rFont val="Noto Sans CJK SC"/>
        <family val="2"/>
      </rPr>
      <t xml:space="preserve">자가용운전자용）</t>
    </r>
  </si>
  <si>
    <r>
      <rPr>
        <sz val="11"/>
        <color rgb="FF000000"/>
        <rFont val="Noto Sans CJK SC"/>
        <family val="2"/>
      </rPr>
      <t xml:space="preserve">특정상해성탈구진단비 （연간</t>
    </r>
    <r>
      <rPr>
        <sz val="11"/>
        <color rgb="FF000000"/>
        <rFont val="맑은 고딕"/>
        <family val="3"/>
        <charset val="129"/>
      </rPr>
      <t xml:space="preserve">1 </t>
    </r>
    <r>
      <rPr>
        <sz val="11"/>
        <color rgb="FF000000"/>
        <rFont val="Noto Sans CJK SC"/>
        <family val="2"/>
      </rPr>
      <t xml:space="preserve">회한）</t>
    </r>
  </si>
  <si>
    <t xml:space="preserve">보복운전 피해보장（자가용운전자용）</t>
  </si>
  <si>
    <t xml:space="preserve">납삼성화재</t>
  </si>
  <si>
    <r>
      <rPr>
        <sz val="11"/>
        <color rgb="FF000000"/>
        <rFont val="맑은 고딕"/>
        <family val="3"/>
        <charset val="129"/>
      </rPr>
      <t xml:space="preserve">KB</t>
    </r>
    <r>
      <rPr>
        <sz val="11"/>
        <color rgb="FF000000"/>
        <rFont val="Noto Sans CJK SC"/>
        <family val="2"/>
      </rPr>
      <t xml:space="preserve">손보</t>
    </r>
  </si>
  <si>
    <t xml:space="preserve">）（의무）</t>
  </si>
  <si>
    <r>
      <rPr>
        <sz val="11"/>
        <color rgb="FF000000"/>
        <rFont val="Noto Sans CJK SC"/>
        <family val="2"/>
      </rPr>
      <t xml:space="preserve">간병인사용 질병입원일당（</t>
    </r>
    <r>
      <rPr>
        <sz val="11"/>
        <color rgb="FF000000"/>
        <rFont val="맑은 고딕"/>
        <family val="3"/>
        <charset val="129"/>
      </rPr>
      <t xml:space="preserve">1 </t>
    </r>
    <r>
      <rPr>
        <sz val="11"/>
        <color rgb="FF000000"/>
        <rFont val="Noto Sans CJK SC"/>
        <family val="2"/>
      </rPr>
      <t xml:space="preserve">일이상）（요양병원</t>
    </r>
  </si>
  <si>
    <r>
      <rPr>
        <sz val="11"/>
        <color rgb="FF000000"/>
        <rFont val="Noto Sans CJK SC"/>
        <family val="2"/>
      </rPr>
      <t xml:space="preserve">제외）（</t>
    </r>
    <r>
      <rPr>
        <sz val="11"/>
        <color rgb="FF000000"/>
        <rFont val="맑은 고딕"/>
        <family val="3"/>
        <charset val="129"/>
      </rPr>
      <t xml:space="preserve">335 </t>
    </r>
    <r>
      <rPr>
        <sz val="11"/>
        <color rgb="FF000000"/>
        <rFont val="Noto Sans CJK SC"/>
        <family val="2"/>
      </rPr>
      <t xml:space="preserve">간편가입）（</t>
    </r>
    <r>
      <rPr>
        <sz val="11"/>
        <color rgb="FF000000"/>
        <rFont val="맑은 고딕"/>
        <family val="3"/>
        <charset val="129"/>
      </rPr>
      <t xml:space="preserve">20 </t>
    </r>
    <r>
      <rPr>
        <sz val="11"/>
        <color rgb="FF000000"/>
        <rFont val="Noto Sans CJK SC"/>
        <family val="2"/>
      </rPr>
      <t xml:space="preserve">년갱신형）간■</t>
    </r>
    <r>
      <rPr>
        <sz val="11"/>
        <color rgb="FF000000"/>
        <rFont val="맑은 고딕"/>
        <family val="3"/>
        <charset val="129"/>
      </rPr>
      <t xml:space="preserve">!</t>
    </r>
    <r>
      <rPr>
        <sz val="11"/>
        <color rgb="FF000000"/>
        <rFont val="Noto Sans CJK SC"/>
        <family val="2"/>
      </rPr>
      <t xml:space="preserve">병 （긴 시■■용</t>
    </r>
  </si>
  <si>
    <r>
      <rPr>
        <sz val="11"/>
        <color rgb="FF000000"/>
        <rFont val="Noto Sans CJK SC"/>
        <family val="2"/>
      </rPr>
      <t xml:space="preserve">질병입원일당 （</t>
    </r>
    <r>
      <rPr>
        <sz val="11"/>
        <color rgb="FF000000"/>
        <rFont val="맑은 고딕"/>
        <family val="3"/>
        <charset val="129"/>
      </rPr>
      <t xml:space="preserve">1-180 </t>
    </r>
    <r>
      <rPr>
        <sz val="11"/>
        <color rgb="FF000000"/>
        <rFont val="Noto Sans CJK SC"/>
        <family val="2"/>
      </rPr>
      <t xml:space="preserve">일）（</t>
    </r>
    <r>
      <rPr>
        <sz val="11"/>
        <color rgb="FF000000"/>
        <rFont val="맑은 고딕"/>
        <family val="3"/>
        <charset val="129"/>
      </rPr>
      <t xml:space="preserve">335</t>
    </r>
    <r>
      <rPr>
        <sz val="11"/>
        <color rgb="FF000000"/>
        <rFont val="Noto Sans CJK SC"/>
        <family val="2"/>
      </rPr>
      <t xml:space="preserve">간편가입）（</t>
    </r>
    <r>
      <rPr>
        <sz val="11"/>
        <color rgb="FF000000"/>
        <rFont val="맑은 고딕"/>
        <family val="3"/>
        <charset val="129"/>
      </rPr>
      <t xml:space="preserve">20 </t>
    </r>
    <r>
      <rPr>
        <sz val="11"/>
        <color rgb="FF000000"/>
        <rFont val="Noto Sans CJK SC"/>
        <family val="2"/>
      </rPr>
      <t xml:space="preserve">년갱신형）간병인사용 상해입원일당（</t>
    </r>
    <r>
      <rPr>
        <sz val="11"/>
        <color rgb="FF000000"/>
        <rFont val="맑은 고딕"/>
        <family val="3"/>
        <charset val="129"/>
      </rPr>
      <t xml:space="preserve">1 </t>
    </r>
    <r>
      <rPr>
        <sz val="11"/>
        <color rgb="FF000000"/>
        <rFont val="Noto Sans CJK SC"/>
        <family val="2"/>
      </rPr>
      <t xml:space="preserve">일이상）（요양병원</t>
    </r>
  </si>
  <si>
    <r>
      <rPr>
        <sz val="11"/>
        <color rgb="FF000000"/>
        <rFont val="Noto Sans CJK SC"/>
        <family val="2"/>
      </rPr>
      <t xml:space="preserve">제외）（</t>
    </r>
    <r>
      <rPr>
        <sz val="11"/>
        <color rgb="FF000000"/>
        <rFont val="맑은 고딕"/>
        <family val="3"/>
        <charset val="129"/>
      </rPr>
      <t xml:space="preserve">335 </t>
    </r>
    <r>
      <rPr>
        <sz val="11"/>
        <color rgb="FF000000"/>
        <rFont val="Noto Sans CJK SC"/>
        <family val="2"/>
      </rPr>
      <t xml:space="preserve">간편가입）（</t>
    </r>
    <r>
      <rPr>
        <sz val="11"/>
        <color rgb="FF000000"/>
        <rFont val="맑은 고딕"/>
        <family val="3"/>
        <charset val="129"/>
      </rPr>
      <t xml:space="preserve">20 </t>
    </r>
    <r>
      <rPr>
        <sz val="11"/>
        <color rgb="FF000000"/>
        <rFont val="Noto Sans CJK SC"/>
        <family val="2"/>
      </rPr>
      <t xml:space="preserve">년갱신형）</t>
    </r>
  </si>
  <si>
    <r>
      <rPr>
        <sz val="11"/>
        <color rgb="FF000000"/>
        <rFont val="Noto Sans CJK SC"/>
        <family val="2"/>
      </rPr>
      <t xml:space="preserve">상해입원일당 （</t>
    </r>
    <r>
      <rPr>
        <sz val="11"/>
        <color rgb="FF000000"/>
        <rFont val="맑은 고딕"/>
        <family val="3"/>
        <charset val="129"/>
      </rPr>
      <t xml:space="preserve">1-180</t>
    </r>
    <r>
      <rPr>
        <sz val="11"/>
        <color rgb="FF000000"/>
        <rFont val="Noto Sans CJK SC"/>
        <family val="2"/>
      </rPr>
      <t xml:space="preserve">일）（</t>
    </r>
    <r>
      <rPr>
        <sz val="11"/>
        <color rgb="FF000000"/>
        <rFont val="맑은 고딕"/>
        <family val="3"/>
        <charset val="129"/>
      </rPr>
      <t xml:space="preserve">335</t>
    </r>
    <r>
      <rPr>
        <sz val="11"/>
        <color rgb="FF000000"/>
        <rFont val="Noto Sans CJK SC"/>
        <family val="2"/>
      </rPr>
      <t xml:space="preserve">간편가입）（</t>
    </r>
    <r>
      <rPr>
        <sz val="11"/>
        <color rgb="FF000000"/>
        <rFont val="맑은 고딕"/>
        <family val="3"/>
        <charset val="129"/>
      </rPr>
      <t xml:space="preserve">20 </t>
    </r>
    <r>
      <rPr>
        <sz val="11"/>
        <color rgb="FF000000"/>
        <rFont val="Noto Sans CJK SC"/>
        <family val="2"/>
      </rPr>
      <t xml:space="preserve">년갱신형）</t>
    </r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</si>
  <si>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근거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실손 세대 판정 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가입일 </t>
    </r>
    <r>
      <rPr>
        <sz val="11"/>
        <color rgb="FF000000"/>
        <rFont val="맑은 고딕"/>
        <family val="3"/>
        <charset val="129"/>
      </rPr>
      <t xml:space="preserve">vs </t>
    </r>
    <r>
      <rPr>
        <sz val="11"/>
        <color rgb="FF000000"/>
        <rFont val="Noto Sans CJK SC"/>
        <family val="2"/>
      </rPr>
      <t xml:space="preserve">상품코드 — 상품코드 우선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</si>
  <si>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가입일</t>
  </si>
  <si>
    <r>
      <rPr>
        <sz val="11"/>
        <color rgb="FF000000"/>
        <rFont val="Noto Sans CJK SC"/>
        <family val="2"/>
      </rPr>
      <t xml:space="preserve">상품코드</t>
    </r>
    <r>
      <rPr>
        <sz val="11"/>
        <color rgb="FF000000"/>
        <rFont val="맑은 고딕"/>
        <family val="3"/>
        <charset val="129"/>
      </rPr>
      <t xml:space="preserve">(YYMM)</t>
    </r>
  </si>
  <si>
    <t xml:space="preserve">판정</t>
  </si>
  <si>
    <t xml:space="preserve">없음</t>
  </si>
  <si>
    <r>
      <rPr>
        <sz val="11"/>
        <color rgb="FF000000"/>
        <rFont val="맑은 고딕"/>
        <family val="3"/>
        <charset val="129"/>
      </rPr>
      <t xml:space="preserve">4</t>
    </r>
    <r>
      <rPr>
        <sz val="11"/>
        <color rgb="FF000000"/>
        <rFont val="Noto Sans CJK SC"/>
        <family val="2"/>
      </rPr>
      <t xml:space="preserve">세대</t>
    </r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</si>
  <si>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근거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수술 블록 기재 내역 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원 담보명 → 기재 행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슬롯</t>
    </r>
    <r>
      <rPr>
        <sz val="11"/>
        <color rgb="FF000000"/>
        <rFont val="맑은 고딕"/>
        <family val="3"/>
        <charset val="129"/>
      </rPr>
      <t xml:space="preserve">) — </t>
    </r>
    <r>
      <rPr>
        <sz val="11"/>
        <color rgb="FF000000"/>
        <rFont val="Noto Sans CJK SC"/>
        <family val="2"/>
      </rPr>
      <t xml:space="preserve">별첨 원문 그대로</t>
    </r>
  </si>
  <si>
    <t xml:space="preserve">별첨 원 담보명</t>
  </si>
  <si>
    <r>
      <rPr>
        <sz val="11"/>
        <color rgb="FF000000"/>
        <rFont val="Noto Sans CJK SC"/>
        <family val="2"/>
      </rPr>
      <t xml:space="preserve">기재 행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슬롯</t>
    </r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</si>
  <si>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근거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암 블록 기재 내역 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원 담보명 → 기재 행</t>
    </r>
    <r>
      <rPr>
        <sz val="11"/>
        <color rgb="FF000000"/>
        <rFont val="맑은 고딕"/>
        <family val="3"/>
        <charset val="129"/>
      </rPr>
      <t xml:space="preserve">) — </t>
    </r>
    <r>
      <rPr>
        <sz val="11"/>
        <color rgb="FF000000"/>
        <rFont val="Noto Sans CJK SC"/>
        <family val="2"/>
      </rPr>
      <t xml:space="preserve">별첨 원문 그대로</t>
    </r>
  </si>
  <si>
    <t xml:space="preserve">기재 행</t>
  </si>
  <si>
    <r>
      <rPr>
        <sz val="11"/>
        <color rgb="FF000000"/>
        <rFont val="맑은 고딕"/>
        <family val="3"/>
        <charset val="129"/>
      </rPr>
      <t xml:space="preserve">AIA</t>
    </r>
    <r>
      <rPr>
        <sz val="11"/>
        <color rgb="FF000000"/>
        <rFont val="Noto Sans CJK SC"/>
        <family val="2"/>
      </rPr>
      <t xml:space="preserve">생명</t>
    </r>
  </si>
  <si>
    <t xml:space="preserve">일반암진단</t>
  </si>
  <si>
    <t xml:space="preserve">고액 암</t>
  </si>
  <si>
    <t xml:space="preserve">소액 암</t>
  </si>
  <si>
    <r>
      <rPr>
        <sz val="11"/>
        <color rgb="FF000000"/>
        <rFont val="Noto Sans CJK SC"/>
        <family val="2"/>
      </rPr>
      <t xml:space="preserve">유사암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갑</t>
    </r>
    <r>
      <rPr>
        <sz val="11"/>
        <color rgb="FF000000"/>
        <rFont val="맑은 고딕"/>
        <family val="3"/>
        <charset val="129"/>
      </rPr>
      <t xml:space="preserve">.</t>
    </r>
    <r>
      <rPr>
        <sz val="11"/>
        <color rgb="FF000000"/>
        <rFont val="Noto Sans CJK SC"/>
        <family val="2"/>
      </rPr>
      <t xml:space="preserve">기</t>
    </r>
    <r>
      <rPr>
        <sz val="11"/>
        <color rgb="FF000000"/>
        <rFont val="맑은 고딕"/>
        <family val="3"/>
        <charset val="129"/>
      </rPr>
      <t xml:space="preserve">.</t>
    </r>
    <r>
      <rPr>
        <sz val="11"/>
        <color rgb="FF000000"/>
        <rFont val="Noto Sans CJK SC"/>
        <family val="2"/>
      </rPr>
      <t xml:space="preserve">경</t>
    </r>
    <r>
      <rPr>
        <sz val="11"/>
        <color rgb="FF000000"/>
        <rFont val="맑은 고딕"/>
        <family val="3"/>
        <charset val="129"/>
      </rPr>
      <t xml:space="preserve">.</t>
    </r>
    <r>
      <rPr>
        <sz val="11"/>
        <color rgb="FF000000"/>
        <rFont val="Noto Sans CJK SC"/>
        <family val="2"/>
      </rPr>
      <t xml:space="preserve">제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</si>
  <si>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암진단비 （유사암제외）（</t>
    </r>
    <r>
      <rPr>
        <sz val="11"/>
        <color rgb="FF000000"/>
        <rFont val="맑은 고딕"/>
        <family val="3"/>
        <charset val="129"/>
      </rPr>
      <t xml:space="preserve">335</t>
    </r>
    <r>
      <rPr>
        <sz val="11"/>
        <color rgb="FF000000"/>
        <rFont val="Noto Sans CJK SC"/>
        <family val="2"/>
      </rPr>
      <t xml:space="preserve">간편가입）（</t>
    </r>
    <r>
      <rPr>
        <sz val="11"/>
        <color rgb="FF000000"/>
        <rFont val="맑은 고딕"/>
        <family val="3"/>
        <charset val="129"/>
      </rPr>
      <t xml:space="preserve">20 </t>
    </r>
    <r>
      <rPr>
        <sz val="11"/>
        <color rgb="FF000000"/>
        <rFont val="Noto Sans CJK SC"/>
        <family val="2"/>
      </rPr>
      <t xml:space="preserve">년갱신형）</t>
    </r>
  </si>
  <si>
    <r>
      <rPr>
        <sz val="11"/>
        <color rgb="FF000000"/>
        <rFont val="Noto Sans CJK SC"/>
        <family val="2"/>
      </rPr>
      <t xml:space="preserve">유사암진단비 </t>
    </r>
    <r>
      <rPr>
        <sz val="11"/>
        <color rgb="FF000000"/>
        <rFont val="맑은 고딕"/>
        <family val="3"/>
        <charset val="129"/>
      </rPr>
      <t xml:space="preserve">III </t>
    </r>
    <r>
      <rPr>
        <sz val="11"/>
        <color rgb="FF000000"/>
        <rFont val="Noto Sans CJK SC"/>
        <family val="2"/>
      </rPr>
      <t xml:space="preserve">（</t>
    </r>
    <r>
      <rPr>
        <sz val="11"/>
        <color rgb="FF000000"/>
        <rFont val="맑은 고딕"/>
        <family val="3"/>
        <charset val="129"/>
      </rPr>
      <t xml:space="preserve">335</t>
    </r>
    <r>
      <rPr>
        <sz val="11"/>
        <color rgb="FF000000"/>
        <rFont val="Noto Sans CJK SC"/>
        <family val="2"/>
      </rPr>
      <t xml:space="preserve">간편가입）（</t>
    </r>
    <r>
      <rPr>
        <sz val="11"/>
        <color rgb="FF000000"/>
        <rFont val="맑은 고딕"/>
        <family val="3"/>
        <charset val="129"/>
      </rPr>
      <t xml:space="preserve">20</t>
    </r>
    <r>
      <rPr>
        <sz val="11"/>
        <color rgb="FF000000"/>
        <rFont val="Noto Sans CJK SC"/>
        <family val="2"/>
      </rPr>
      <t xml:space="preserve">년갱신형）</t>
    </r>
  </si>
  <si>
    <r>
      <rPr>
        <sz val="11"/>
        <color rgb="FF000000"/>
        <rFont val="Noto Sans CJK SC"/>
        <family val="2"/>
      </rPr>
      <t xml:space="preserve">재진단암진단비 （</t>
    </r>
    <r>
      <rPr>
        <sz val="11"/>
        <color rgb="FF000000"/>
        <rFont val="맑은 고딕"/>
        <family val="3"/>
        <charset val="129"/>
      </rPr>
      <t xml:space="preserve">335</t>
    </r>
    <r>
      <rPr>
        <sz val="11"/>
        <color rgb="FF000000"/>
        <rFont val="Noto Sans CJK SC"/>
        <family val="2"/>
      </rPr>
      <t xml:space="preserve">간편가입）（</t>
    </r>
    <r>
      <rPr>
        <sz val="11"/>
        <color rgb="FF000000"/>
        <rFont val="맑은 고딕"/>
        <family val="3"/>
        <charset val="129"/>
      </rPr>
      <t xml:space="preserve">20 </t>
    </r>
    <r>
      <rPr>
        <sz val="11"/>
        <color rgb="FF000000"/>
        <rFont val="Noto Sans CJK SC"/>
        <family val="2"/>
      </rPr>
      <t xml:space="preserve">년갱신형）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</si>
</sst>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_-;\-* #,##0_-;_-* \-_-;_-@_-"/>
    <numFmt numFmtId="166" formatCode="#,##0"/>
  </numFmts>
  <fonts count="22">
    <font>
      <sz val="11"/>
      <color rgb="FF000000"/>
      <name val="맑은 고딕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Noto Sans CJK SC"/>
      <family val="2"/>
      <charset val="1"/>
    </font>
    <font>
      <b val="true"/>
      <sz val="9"/>
      <color rgb="FFFFFFFF"/>
      <name val="맑은 고딕"/>
      <family val="0"/>
      <charset val="1"/>
    </font>
    <font>
      <b val="true"/>
      <sz val="9"/>
      <color rgb="FFFFFFFF"/>
      <name val="Noto Sans CJK SC"/>
      <family val="2"/>
    </font>
    <font>
      <b val="true"/>
      <sz val="9"/>
      <color rgb="FF000000"/>
      <name val="Noto Sans CJK SC"/>
      <family val="2"/>
      <charset val="1"/>
    </font>
    <font>
      <sz val="9"/>
      <color rgb="FF000000"/>
      <name val="맑은 고딕"/>
      <family val="0"/>
      <charset val="1"/>
    </font>
    <font>
      <sz val="9"/>
      <color rgb="FF0070C0"/>
      <name val="맑은 고딕"/>
      <family val="0"/>
      <charset val="1"/>
    </font>
    <font>
      <b val="true"/>
      <sz val="8"/>
      <color rgb="FF000000"/>
      <name val="Noto Sans CJK SC"/>
      <family val="2"/>
      <charset val="1"/>
    </font>
    <font>
      <b val="true"/>
      <sz val="8"/>
      <color rgb="FF000000"/>
      <name val="맑은 고딕"/>
      <family val="3"/>
      <charset val="129"/>
    </font>
    <font>
      <sz val="9"/>
      <color rgb="FF000000"/>
      <name val="Noto Sans CJK SC"/>
      <family val="2"/>
    </font>
    <font>
      <sz val="9"/>
      <color rgb="FF0070C0"/>
      <name val="Noto Sans CJK SC"/>
      <family val="2"/>
    </font>
    <font>
      <b val="true"/>
      <sz val="10"/>
      <color rgb="FFFF0000"/>
      <name val="맑은 고딕"/>
      <family val="3"/>
      <charset val="129"/>
    </font>
    <font>
      <b val="true"/>
      <sz val="9"/>
      <color rgb="FF000000"/>
      <name val="맑은 고딕"/>
      <family val="3"/>
      <charset val="129"/>
    </font>
    <font>
      <b val="true"/>
      <sz val="9"/>
      <color rgb="FF0000FF"/>
      <name val="맑은 고딕"/>
      <family val="3"/>
      <charset val="129"/>
    </font>
    <font>
      <b val="true"/>
      <sz val="9"/>
      <color rgb="FF000000"/>
      <name val="Noto Sans CJK SC"/>
      <family val="2"/>
    </font>
    <font>
      <b val="true"/>
      <sz val="13"/>
      <name val="Noto Sans CJK SC"/>
      <family val="2"/>
      <charset val="1"/>
    </font>
    <font>
      <sz val="11"/>
      <color rgb="FF000000"/>
      <name val="Noto Sans CJK SC"/>
      <family val="2"/>
      <charset val="1"/>
    </font>
    <font>
      <sz val="11"/>
      <color rgb="FF000000"/>
      <name val="Noto Sans CJK SC"/>
      <family val="2"/>
    </font>
    <font>
      <u val="single"/>
      <sz val="11"/>
      <color rgb="FF0000FF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00000"/>
        <bgColor rgb="FFFF0000"/>
      </patternFill>
    </fill>
    <fill>
      <patternFill patternType="solid">
        <fgColor rgb="FF0070C0"/>
        <bgColor rgb="FF008080"/>
      </patternFill>
    </fill>
    <fill>
      <patternFill patternType="solid">
        <fgColor rgb="FF2E75B6"/>
        <bgColor rgb="FF0070C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search.naver.com/search.naver?query=&#54620;&#54868;&#49552;&#48372;%20&#54620;&#54868;%20&#50868;&#51204;&#51088;&#49345;&#54644;&#48372;&#54744;%20&#47924;&#48176;&#45817;2504%20&#48372;&#48373;&#50868;&#51204;&#54588;&#54644;&#48372;&#51109;%20II%20%20&#50557;&#44288;%20&#48372;&#51109;&#45236;&#50857;" TargetMode="External"/><Relationship Id="rId2" Type="http://schemas.openxmlformats.org/officeDocument/2006/relationships/hyperlink" Target="https://search.naver.com/search.naver?query=&#54620;&#54868;&#49552;&#48372;%20&#54620;&#54868;%20&#50868;&#51204;&#51088;&#49345;&#54644;&#48372;&#54744;%20&#47924;&#48176;&#45817;2504%20&#50896;&#44201;&#51648;&#49324;&#44256;&#49884;&#50868;&#48152;&#48708;&#50857;&#65288;&#49892;%20&#50557;&#44288;%20&#48372;&#51109;&#45236;&#50857;" TargetMode="External"/><Relationship Id="rId3" Type="http://schemas.openxmlformats.org/officeDocument/2006/relationships/hyperlink" Target="https://search.naver.com/search.naver?query=&#54620;&#54868;&#49552;&#48372;%20&#54620;&#54868;%20&#50868;&#51204;&#51088;&#49345;&#54644;&#48372;&#54744;%20&#47924;&#48176;&#45817;2504%20&#53945;&#51221;&#49345;&#54644;&#49457;&#53448;&#44396;&#51652;&#45800;&#48708;%20&#65288;%20&#50557;&#44288;%20&#48372;&#51109;&#45236;&#50857;" TargetMode="External"/><Relationship Id="rId4" Type="http://schemas.openxmlformats.org/officeDocument/2006/relationships/hyperlink" Target="https://search.naver.com/search.naver?query=&#54620;&#54868;&#49552;&#48372;%20&#54620;&#54868;%20&#50868;&#51204;&#51088;&#49345;&#54644;&#48372;&#54744;%20&#47924;&#48176;&#45817;2504%20&#48372;&#48373;&#50868;&#51204;%20&#54588;&#54644;&#48372;&#51109;&#65288;&#51088;&#44032;%20&#50557;&#44288;%20&#48372;&#51109;&#45236;&#50857;" TargetMode="External"/><Relationship Id="rId5" Type="http://schemas.openxmlformats.org/officeDocument/2006/relationships/hyperlink" Target="https://search.naver.com/search.naver?query=&#45225;&#49340;&#49457;&#54868;&#51116;%20&#47924;&#48176;&#45817;%20&#49340;&#49457;80&#54217;&#49373;&#48372;&#54744;%20III%20&#50557;&#44050;%20&#50557;&#44288;%20&#48372;&#51109;&#45236;&#50857;" TargetMode="External"/><Relationship Id="rId6" Type="http://schemas.openxmlformats.org/officeDocument/2006/relationships/hyperlink" Target="https://search.naver.com/search.naver?query=KB&#49552;&#48372;%20KB%203.3.5%20&#49836;&#44592;&#47196;&#50868;%20&#44036;&#54200;&#44148;&#44053;%20&#65289;&#65288;&#51032;&#47924;&#65289;%20&#50557;&#44288;%20&#48372;&#51109;&#45236;&#50857;" TargetMode="External"/><Relationship Id="rId7" Type="http://schemas.openxmlformats.org/officeDocument/2006/relationships/hyperlink" Target="https://search.naver.com/search.naver?query=KB&#49552;&#48372;%20KB%203.3.5%20&#49836;&#44592;&#47196;&#50868;%20&#44036;&#54200;&#44148;&#44053;%20&#44036;&#48337;&#51064;&#49324;&#50857;%20&#51656;&#48337;&#51077;&#50896;&#51068;&#45817;%20&#50557;&#44288;%20&#48372;&#51109;&#45236;&#50857;" TargetMode="External"/><Relationship Id="rId8" Type="http://schemas.openxmlformats.org/officeDocument/2006/relationships/hyperlink" Target="https://search.naver.com/search.naver?query=KB&#49552;&#48372;%20KB%203.3.5%20&#49836;&#44592;&#47196;&#50868;%20&#44036;&#54200;&#44148;&#44053;%20&#51228;&#50808;&#65289;&#65288;335%20&#44036;&#54200;&#44032;&#51077;%20&#50557;&#44288;%20&#48372;&#51109;&#45236;&#50857;" TargetMode="External"/><Relationship Id="rId9" Type="http://schemas.openxmlformats.org/officeDocument/2006/relationships/hyperlink" Target="https://search.naver.com/search.naver?query=KB&#49552;&#48372;%20KB%203.3.5%20&#49836;&#44592;&#47196;&#50868;%20&#44036;&#54200;&#44148;&#44053;%20&#51656;&#48337;&#51077;&#50896;&#51068;&#45817;%20&#65288;1-18%20&#50557;&#44288;%20&#48372;&#51109;&#45236;&#50857;" TargetMode="External"/><Relationship Id="rId10" Type="http://schemas.openxmlformats.org/officeDocument/2006/relationships/hyperlink" Target="https://search.naver.com/search.naver?query=KB&#49552;&#48372;%20KB%203.3.5%20&#49836;&#44592;&#47196;&#50868;%20&#44036;&#54200;&#44148;&#44053;%20&#51228;&#50808;&#65289;&#65288;335%20&#44036;&#54200;&#44032;&#51077;%20&#50557;&#44288;%20&#48372;&#51109;&#45236;&#50857;" TargetMode="External"/><Relationship Id="rId11" Type="http://schemas.openxmlformats.org/officeDocument/2006/relationships/hyperlink" Target="https://search.naver.com/search.naver?query=KB&#49552;&#48372;%20KB%203.3.5%20&#49836;&#44592;&#47196;&#50868;%20&#44036;&#54200;&#44148;&#44053;%20&#49345;&#54644;&#51077;&#50896;&#51068;&#45817;%20&#65288;1-18%20&#50557;&#44288;%20&#48372;&#51109;&#45236;&#50857;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99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C45" activeCellId="0" sqref="C45"/>
    </sheetView>
  </sheetViews>
  <sheetFormatPr defaultColWidth="9" defaultRowHeight="17.25" zeroHeight="false" outlineLevelRow="0" outlineLevelCol="0"/>
  <cols>
    <col collapsed="false" customWidth="true" hidden="false" outlineLevel="0" max="1" min="1" style="1" width="6.5"/>
    <col collapsed="false" customWidth="true" hidden="false" outlineLevel="0" max="2" min="2" style="1" width="22"/>
    <col collapsed="false" customWidth="true" hidden="false" outlineLevel="0" max="7" min="3" style="1" width="12"/>
    <col collapsed="false" customWidth="true" hidden="false" outlineLevel="0" max="8" min="8" style="1" width="16.5"/>
    <col collapsed="false" customWidth="true" hidden="false" outlineLevel="0" max="9" min="9" style="1" width="14.5"/>
    <col collapsed="false" customWidth="true" hidden="false" outlineLevel="0" max="10" min="10" style="1" width="22.9"/>
    <col collapsed="false" customWidth="true" hidden="false" outlineLevel="0" max="11" min="11" style="1" width="1.5"/>
    <col collapsed="false" customWidth="true" hidden="false" outlineLevel="0" max="18" min="12" style="1" width="11.4"/>
  </cols>
  <sheetData>
    <row r="1" customFormat="false" ht="38.25" hidden="false" customHeight="true" outlineLevel="0" collapsed="false">
      <c r="A1" s="2" t="s">
        <v>0</v>
      </c>
      <c r="B1" s="2"/>
      <c r="C1" s="3" t="s">
        <v>1</v>
      </c>
      <c r="D1" s="4" t="s">
        <v>2</v>
      </c>
      <c r="E1" s="5" t="s">
        <v>3</v>
      </c>
      <c r="F1" s="6" t="s">
        <v>4</v>
      </c>
      <c r="G1" s="7" t="s">
        <v>5</v>
      </c>
    </row>
    <row r="2" customFormat="false" ht="16.5" hidden="false" customHeight="true" outlineLevel="0" collapsed="false">
      <c r="A2" s="8" t="s">
        <v>6</v>
      </c>
      <c r="B2" s="8"/>
      <c r="C2" s="9" t="n">
        <v>31240</v>
      </c>
      <c r="D2" s="10" t="n">
        <v>25608</v>
      </c>
      <c r="E2" s="11"/>
      <c r="F2" s="10" t="n">
        <v>57703</v>
      </c>
      <c r="G2" s="12" t="n">
        <f aca="false">SUM(C2:F2)</f>
        <v>114551</v>
      </c>
    </row>
    <row r="3" customFormat="false" ht="16.5" hidden="false" customHeight="true" outlineLevel="0" collapsed="false">
      <c r="A3" s="13" t="s">
        <v>7</v>
      </c>
      <c r="B3" s="13"/>
      <c r="C3" s="11" t="s">
        <v>8</v>
      </c>
      <c r="D3" s="14" t="s">
        <v>9</v>
      </c>
      <c r="E3" s="11" t="s">
        <v>10</v>
      </c>
      <c r="F3" s="14" t="s">
        <v>11</v>
      </c>
      <c r="G3" s="15"/>
    </row>
    <row r="4" customFormat="false" ht="16.5" hidden="false" customHeight="true" outlineLevel="0" collapsed="false">
      <c r="A4" s="13" t="s">
        <v>12</v>
      </c>
      <c r="B4" s="13"/>
      <c r="C4" s="11" t="s">
        <v>13</v>
      </c>
      <c r="D4" s="14" t="s">
        <v>14</v>
      </c>
      <c r="E4" s="11" t="s">
        <v>15</v>
      </c>
      <c r="F4" s="14" t="s">
        <v>16</v>
      </c>
      <c r="G4" s="15"/>
    </row>
    <row r="5" customFormat="false" ht="17.25" hidden="false" customHeight="true" outlineLevel="0" collapsed="false">
      <c r="A5" s="13" t="s">
        <v>17</v>
      </c>
      <c r="B5" s="13"/>
      <c r="C5" s="11" t="s">
        <v>18</v>
      </c>
      <c r="D5" s="14" t="s">
        <v>19</v>
      </c>
      <c r="E5" s="11" t="s">
        <v>20</v>
      </c>
      <c r="F5" s="14" t="s">
        <v>21</v>
      </c>
      <c r="G5" s="16"/>
    </row>
    <row r="6" customFormat="false" ht="16.5" hidden="false" customHeight="true" outlineLevel="0" collapsed="false">
      <c r="A6" s="17" t="s">
        <v>22</v>
      </c>
      <c r="B6" s="18" t="s">
        <v>23</v>
      </c>
      <c r="C6" s="19"/>
      <c r="D6" s="19"/>
      <c r="E6" s="19"/>
      <c r="F6" s="19"/>
      <c r="G6" s="20" t="n">
        <f aca="false">SUM(C6:F6)</f>
        <v>0</v>
      </c>
    </row>
    <row r="7" customFormat="false" ht="17.25" hidden="false" customHeight="true" outlineLevel="0" collapsed="false">
      <c r="A7" s="17"/>
      <c r="B7" s="21" t="s">
        <v>24</v>
      </c>
      <c r="C7" s="22"/>
      <c r="D7" s="22"/>
      <c r="E7" s="22"/>
      <c r="F7" s="22"/>
      <c r="G7" s="23" t="n">
        <f aca="false">SUM(C7:F7)</f>
        <v>0</v>
      </c>
    </row>
    <row r="8" customFormat="false" ht="17.25" hidden="false" customHeight="true" outlineLevel="0" collapsed="false">
      <c r="A8" s="17"/>
      <c r="B8" s="24" t="s">
        <v>25</v>
      </c>
      <c r="C8" s="22"/>
      <c r="D8" s="22"/>
      <c r="E8" s="22"/>
      <c r="F8" s="22"/>
      <c r="G8" s="23" t="n">
        <f aca="false">SUM(C8:F8)</f>
        <v>0</v>
      </c>
    </row>
    <row r="9" customFormat="false" ht="16.5" hidden="false" customHeight="true" outlineLevel="0" collapsed="false">
      <c r="A9" s="17"/>
      <c r="B9" s="24" t="s">
        <v>26</v>
      </c>
      <c r="C9" s="22"/>
      <c r="D9" s="22"/>
      <c r="E9" s="22"/>
      <c r="F9" s="22"/>
      <c r="G9" s="23" t="n">
        <f aca="false">SUM(C9:F9)</f>
        <v>0</v>
      </c>
    </row>
    <row r="10" customFormat="false" ht="17.25" hidden="false" customHeight="true" outlineLevel="0" collapsed="false">
      <c r="A10" s="17"/>
      <c r="B10" s="25" t="s">
        <v>27</v>
      </c>
      <c r="C10" s="26"/>
      <c r="D10" s="10" t="n">
        <v>4000</v>
      </c>
      <c r="E10" s="26"/>
      <c r="F10" s="10" t="n">
        <v>100</v>
      </c>
      <c r="G10" s="12" t="n">
        <f aca="false">SUM(C10:F10)</f>
        <v>4100</v>
      </c>
    </row>
    <row r="11" customFormat="false" ht="16.5" hidden="false" customHeight="true" outlineLevel="0" collapsed="false">
      <c r="A11" s="27" t="s">
        <v>28</v>
      </c>
      <c r="B11" s="24" t="s">
        <v>29</v>
      </c>
      <c r="C11" s="22"/>
      <c r="D11" s="28" t="n">
        <v>1000</v>
      </c>
      <c r="E11" s="22"/>
      <c r="F11" s="22"/>
      <c r="G11" s="23" t="n">
        <f aca="false">SUM(C11:F11)</f>
        <v>1000</v>
      </c>
    </row>
    <row r="12" customFormat="false" ht="16.5" hidden="false" customHeight="true" outlineLevel="0" collapsed="false">
      <c r="A12" s="27"/>
      <c r="B12" s="24" t="s">
        <v>30</v>
      </c>
      <c r="C12" s="22"/>
      <c r="D12" s="22"/>
      <c r="E12" s="22"/>
      <c r="F12" s="22"/>
      <c r="G12" s="23" t="n">
        <f aca="false">SUM(C12:F12)</f>
        <v>0</v>
      </c>
    </row>
    <row r="13" customFormat="false" ht="16.5" hidden="false" customHeight="true" outlineLevel="0" collapsed="false">
      <c r="A13" s="27"/>
      <c r="B13" s="24" t="s">
        <v>31</v>
      </c>
      <c r="C13" s="22"/>
      <c r="D13" s="22"/>
      <c r="E13" s="22"/>
      <c r="F13" s="22"/>
      <c r="G13" s="23" t="n">
        <f aca="false">SUM(C13:F13)</f>
        <v>0</v>
      </c>
    </row>
    <row r="14" customFormat="false" ht="17.25" hidden="false" customHeight="true" outlineLevel="0" collapsed="false">
      <c r="A14" s="27"/>
      <c r="B14" s="25" t="s">
        <v>32</v>
      </c>
      <c r="C14" s="26"/>
      <c r="D14" s="26"/>
      <c r="E14" s="26"/>
      <c r="F14" s="26"/>
      <c r="G14" s="12" t="n">
        <f aca="false">SUM(C14:F14)</f>
        <v>0</v>
      </c>
    </row>
    <row r="15" customFormat="false" ht="17.25" hidden="false" customHeight="true" outlineLevel="0" collapsed="false">
      <c r="A15" s="27" t="s">
        <v>33</v>
      </c>
      <c r="B15" s="24" t="s">
        <v>34</v>
      </c>
      <c r="C15" s="29" t="n">
        <v>4000</v>
      </c>
      <c r="D15" s="22"/>
      <c r="E15" s="22"/>
      <c r="F15" s="22"/>
      <c r="G15" s="23" t="n">
        <f aca="false">SUM(C15:F15)</f>
        <v>4000</v>
      </c>
    </row>
    <row r="16" customFormat="false" ht="16.5" hidden="false" customHeight="true" outlineLevel="0" collapsed="false">
      <c r="A16" s="27"/>
      <c r="B16" s="21" t="s">
        <v>35</v>
      </c>
      <c r="C16" s="29" t="n">
        <v>2000</v>
      </c>
      <c r="D16" s="22"/>
      <c r="E16" s="22"/>
      <c r="F16" s="28" t="n">
        <v>100</v>
      </c>
      <c r="G16" s="23" t="n">
        <f aca="false">SUM(C16:F16)</f>
        <v>2100</v>
      </c>
    </row>
    <row r="17" customFormat="false" ht="17.25" hidden="false" customHeight="true" outlineLevel="0" collapsed="false">
      <c r="A17" s="27"/>
      <c r="B17" s="21" t="s">
        <v>36</v>
      </c>
      <c r="C17" s="22"/>
      <c r="D17" s="22"/>
      <c r="E17" s="22"/>
      <c r="F17" s="22"/>
      <c r="G17" s="23" t="n">
        <f aca="false">SUM(C17:F17)</f>
        <v>0</v>
      </c>
    </row>
    <row r="18" customFormat="false" ht="16.5" hidden="false" customHeight="true" outlineLevel="0" collapsed="false">
      <c r="A18" s="27"/>
      <c r="B18" s="24" t="s">
        <v>37</v>
      </c>
      <c r="C18" s="29" t="n">
        <v>400</v>
      </c>
      <c r="D18" s="22"/>
      <c r="E18" s="22"/>
      <c r="F18" s="28" t="n">
        <v>10</v>
      </c>
      <c r="G18" s="23" t="n">
        <f aca="false">SUM(C18:F18)</f>
        <v>410</v>
      </c>
    </row>
    <row r="19" customFormat="false" ht="16.5" hidden="false" customHeight="true" outlineLevel="0" collapsed="false">
      <c r="A19" s="27"/>
      <c r="B19" s="24" t="s">
        <v>38</v>
      </c>
      <c r="C19" s="22"/>
      <c r="D19" s="22"/>
      <c r="E19" s="22"/>
      <c r="F19" s="22"/>
      <c r="G19" s="23" t="n">
        <f aca="false">SUM(C19:F19)</f>
        <v>0</v>
      </c>
    </row>
    <row r="20" customFormat="false" ht="16.5" hidden="false" customHeight="true" outlineLevel="0" collapsed="false">
      <c r="A20" s="27"/>
      <c r="B20" s="24" t="s">
        <v>39</v>
      </c>
      <c r="C20" s="30"/>
      <c r="D20" s="30"/>
      <c r="E20" s="30"/>
      <c r="F20" s="30"/>
      <c r="G20" s="23" t="n">
        <f aca="false">SUM(C20:F20)</f>
        <v>0</v>
      </c>
    </row>
    <row r="21" customFormat="false" ht="16.5" hidden="false" customHeight="true" outlineLevel="0" collapsed="false">
      <c r="A21" s="27"/>
      <c r="B21" s="24" t="s">
        <v>40</v>
      </c>
      <c r="C21" s="22"/>
      <c r="D21" s="22"/>
      <c r="E21" s="22"/>
      <c r="F21" s="22"/>
      <c r="G21" s="23" t="n">
        <f aca="false">SUM(C21:F21)</f>
        <v>0</v>
      </c>
    </row>
    <row r="22" customFormat="false" ht="16.5" hidden="false" customHeight="true" outlineLevel="0" collapsed="false">
      <c r="A22" s="27"/>
      <c r="B22" s="24" t="s">
        <v>41</v>
      </c>
      <c r="C22" s="30"/>
      <c r="D22" s="30"/>
      <c r="E22" s="30"/>
      <c r="F22" s="30"/>
      <c r="G22" s="23" t="n">
        <f aca="false">IF(COUNT(C22:F22)=0,0,MAX(C22:F22))</f>
        <v>0</v>
      </c>
    </row>
    <row r="23" customFormat="false" ht="16.5" hidden="false" customHeight="true" outlineLevel="0" collapsed="false">
      <c r="A23" s="27"/>
      <c r="B23" s="24" t="s">
        <v>42</v>
      </c>
      <c r="C23" s="30"/>
      <c r="D23" s="30"/>
      <c r="E23" s="30"/>
      <c r="F23" s="30"/>
      <c r="G23" s="23" t="n">
        <f aca="false">SUM(C23:F23)</f>
        <v>0</v>
      </c>
    </row>
    <row r="24" customFormat="false" ht="16.5" hidden="false" customHeight="true" outlineLevel="0" collapsed="false">
      <c r="A24" s="27"/>
      <c r="B24" s="24" t="s">
        <v>43</v>
      </c>
      <c r="C24" s="30"/>
      <c r="D24" s="30"/>
      <c r="E24" s="30"/>
      <c r="F24" s="30"/>
      <c r="G24" s="23" t="n">
        <f aca="false">SUM(C24:F24)</f>
        <v>0</v>
      </c>
    </row>
    <row r="25" customFormat="false" ht="16.5" hidden="false" customHeight="true" outlineLevel="0" collapsed="false">
      <c r="A25" s="27"/>
      <c r="B25" s="24" t="s">
        <v>44</v>
      </c>
      <c r="C25" s="30"/>
      <c r="D25" s="30"/>
      <c r="E25" s="30"/>
      <c r="F25" s="30"/>
      <c r="G25" s="23" t="n">
        <f aca="false">SUM(C25:F25)</f>
        <v>0</v>
      </c>
    </row>
    <row r="26" customFormat="false" ht="16.5" hidden="false" customHeight="true" outlineLevel="0" collapsed="false">
      <c r="A26" s="27"/>
      <c r="B26" s="24" t="s">
        <v>45</v>
      </c>
      <c r="C26" s="30"/>
      <c r="D26" s="30"/>
      <c r="E26" s="30"/>
      <c r="F26" s="30"/>
      <c r="G26" s="23" t="n">
        <f aca="false">SUM(C26:F26)</f>
        <v>0</v>
      </c>
    </row>
    <row r="27" customFormat="false" ht="16.5" hidden="false" customHeight="true" outlineLevel="0" collapsed="false">
      <c r="A27" s="27"/>
      <c r="B27" s="24" t="s">
        <v>46</v>
      </c>
      <c r="C27" s="22"/>
      <c r="D27" s="22"/>
      <c r="E27" s="22"/>
      <c r="F27" s="22"/>
      <c r="G27" s="23" t="n">
        <f aca="false">SUM(C27:F27)</f>
        <v>0</v>
      </c>
    </row>
    <row r="28" customFormat="false" ht="17.25" hidden="false" customHeight="true" outlineLevel="0" collapsed="false">
      <c r="A28" s="27"/>
      <c r="B28" s="24" t="s">
        <v>47</v>
      </c>
      <c r="C28" s="22"/>
      <c r="D28" s="22"/>
      <c r="E28" s="22"/>
      <c r="F28" s="22"/>
      <c r="G28" s="23" t="n">
        <f aca="false">SUM(C28:F28)</f>
        <v>0</v>
      </c>
    </row>
    <row r="29" customFormat="false" ht="17.25" hidden="false" customHeight="true" outlineLevel="0" collapsed="false">
      <c r="A29" s="27"/>
      <c r="B29" s="25" t="s">
        <v>48</v>
      </c>
      <c r="C29" s="26"/>
      <c r="D29" s="26"/>
      <c r="E29" s="26"/>
      <c r="F29" s="26"/>
      <c r="G29" s="12" t="n">
        <f aca="false">SUM(C29:F29)</f>
        <v>0</v>
      </c>
    </row>
    <row r="30" customFormat="false" ht="16.5" hidden="false" customHeight="true" outlineLevel="0" collapsed="false">
      <c r="A30" s="27" t="s">
        <v>49</v>
      </c>
      <c r="B30" s="24" t="s">
        <v>50</v>
      </c>
      <c r="C30" s="22"/>
      <c r="D30" s="22"/>
      <c r="E30" s="22"/>
      <c r="F30" s="22"/>
      <c r="G30" s="23" t="n">
        <f aca="false">SUM(C30:F30)</f>
        <v>0</v>
      </c>
    </row>
    <row r="31" customFormat="false" ht="17.25" hidden="false" customHeight="true" outlineLevel="0" collapsed="false">
      <c r="A31" s="27"/>
      <c r="B31" s="21" t="s">
        <v>51</v>
      </c>
      <c r="C31" s="22"/>
      <c r="D31" s="22"/>
      <c r="E31" s="22"/>
      <c r="F31" s="22"/>
      <c r="G31" s="23" t="n">
        <f aca="false">SUM(C31:F31)</f>
        <v>0</v>
      </c>
    </row>
    <row r="32" customFormat="false" ht="16.5" hidden="false" customHeight="true" outlineLevel="0" collapsed="false">
      <c r="A32" s="27"/>
      <c r="B32" s="21" t="s">
        <v>52</v>
      </c>
      <c r="C32" s="22"/>
      <c r="D32" s="22"/>
      <c r="E32" s="22"/>
      <c r="F32" s="22"/>
      <c r="G32" s="23" t="n">
        <f aca="false">SUM(C32:F32)</f>
        <v>0</v>
      </c>
    </row>
    <row r="33" customFormat="false" ht="16.5" hidden="false" customHeight="true" outlineLevel="0" collapsed="false">
      <c r="A33" s="27"/>
      <c r="B33" s="24" t="s">
        <v>53</v>
      </c>
      <c r="C33" s="22"/>
      <c r="D33" s="22"/>
      <c r="E33" s="22"/>
      <c r="F33" s="22"/>
      <c r="G33" s="23" t="n">
        <f aca="false">SUM(C33:F33)</f>
        <v>0</v>
      </c>
    </row>
    <row r="34" customFormat="false" ht="16.5" hidden="false" customHeight="true" outlineLevel="0" collapsed="false">
      <c r="A34" s="27"/>
      <c r="B34" s="24" t="s">
        <v>54</v>
      </c>
      <c r="C34" s="22"/>
      <c r="D34" s="22"/>
      <c r="E34" s="22"/>
      <c r="F34" s="22"/>
      <c r="G34" s="23" t="n">
        <f aca="false">SUM(C34:F34)</f>
        <v>0</v>
      </c>
    </row>
    <row r="35" customFormat="false" ht="16.5" hidden="false" customHeight="true" outlineLevel="0" collapsed="false">
      <c r="A35" s="27"/>
      <c r="B35" s="24" t="s">
        <v>55</v>
      </c>
      <c r="C35" s="22"/>
      <c r="D35" s="22"/>
      <c r="E35" s="22"/>
      <c r="F35" s="22"/>
      <c r="G35" s="23" t="n">
        <f aca="false">SUM(C35:F35)</f>
        <v>0</v>
      </c>
    </row>
    <row r="36" customFormat="false" ht="16.5" hidden="false" customHeight="true" outlineLevel="0" collapsed="false">
      <c r="A36" s="27"/>
      <c r="B36" s="24" t="s">
        <v>56</v>
      </c>
      <c r="C36" s="22"/>
      <c r="D36" s="22"/>
      <c r="E36" s="22"/>
      <c r="F36" s="22"/>
      <c r="G36" s="23" t="n">
        <f aca="false">SUM(C36:F36)</f>
        <v>0</v>
      </c>
    </row>
    <row r="37" customFormat="false" ht="16.5" hidden="false" customHeight="true" outlineLevel="0" collapsed="false">
      <c r="A37" s="27"/>
      <c r="B37" s="25" t="s">
        <v>57</v>
      </c>
      <c r="C37" s="26"/>
      <c r="D37" s="26"/>
      <c r="E37" s="26"/>
      <c r="F37" s="26"/>
      <c r="G37" s="12" t="n">
        <f aca="false">SUM(C37:F37)</f>
        <v>0</v>
      </c>
    </row>
    <row r="38" customFormat="false" ht="16.5" hidden="false" customHeight="true" outlineLevel="0" collapsed="false">
      <c r="A38" s="27" t="s">
        <v>58</v>
      </c>
      <c r="B38" s="24" t="s">
        <v>59</v>
      </c>
      <c r="C38" s="22"/>
      <c r="D38" s="22"/>
      <c r="E38" s="22"/>
      <c r="F38" s="22"/>
      <c r="G38" s="23" t="n">
        <f aca="false">SUM(C38:F38)</f>
        <v>0</v>
      </c>
    </row>
    <row r="39" customFormat="false" ht="16.5" hidden="false" customHeight="true" outlineLevel="0" collapsed="false">
      <c r="A39" s="27"/>
      <c r="B39" s="24" t="s">
        <v>60</v>
      </c>
      <c r="C39" s="22"/>
      <c r="D39" s="22"/>
      <c r="E39" s="22"/>
      <c r="F39" s="22"/>
      <c r="G39" s="23" t="n">
        <f aca="false">SUM(C39:F39)</f>
        <v>0</v>
      </c>
    </row>
    <row r="40" customFormat="false" ht="16.5" hidden="false" customHeight="true" outlineLevel="0" collapsed="false">
      <c r="A40" s="27"/>
      <c r="B40" s="24" t="s">
        <v>61</v>
      </c>
      <c r="C40" s="22"/>
      <c r="D40" s="22"/>
      <c r="E40" s="22"/>
      <c r="F40" s="22"/>
      <c r="G40" s="23" t="n">
        <f aca="false">SUM(C40:F40)</f>
        <v>0</v>
      </c>
    </row>
    <row r="41" customFormat="false" ht="17.25" hidden="false" customHeight="true" outlineLevel="0" collapsed="false">
      <c r="A41" s="27"/>
      <c r="B41" s="24" t="s">
        <v>62</v>
      </c>
      <c r="C41" s="22"/>
      <c r="D41" s="22"/>
      <c r="E41" s="22"/>
      <c r="F41" s="22"/>
      <c r="G41" s="23" t="n">
        <f aca="false">SUM(C41:F41)</f>
        <v>0</v>
      </c>
    </row>
    <row r="42" customFormat="false" ht="16.5" hidden="false" customHeight="true" outlineLevel="0" collapsed="false">
      <c r="A42" s="27"/>
      <c r="B42" s="24" t="s">
        <v>63</v>
      </c>
      <c r="C42" s="22"/>
      <c r="D42" s="22"/>
      <c r="E42" s="22"/>
      <c r="F42" s="22"/>
      <c r="G42" s="23" t="n">
        <f aca="false">SUM(C42:F42)</f>
        <v>0</v>
      </c>
    </row>
    <row r="43" customFormat="false" ht="16.5" hidden="false" customHeight="true" outlineLevel="0" collapsed="false">
      <c r="A43" s="27"/>
      <c r="B43" s="24" t="s">
        <v>64</v>
      </c>
      <c r="C43" s="31"/>
      <c r="D43" s="31"/>
      <c r="E43" s="31"/>
      <c r="F43" s="31"/>
      <c r="G43" s="32" t="n">
        <f aca="false">SUM(C43:F43)</f>
        <v>0</v>
      </c>
    </row>
    <row r="44" customFormat="false" ht="17.25" hidden="false" customHeight="true" outlineLevel="0" collapsed="false">
      <c r="A44" s="27"/>
      <c r="B44" s="24" t="s">
        <v>65</v>
      </c>
      <c r="C44" s="31"/>
      <c r="D44" s="31"/>
      <c r="E44" s="31"/>
      <c r="F44" s="31"/>
      <c r="G44" s="32" t="n">
        <f aca="false">SUM(C44:F44)</f>
        <v>0</v>
      </c>
    </row>
    <row r="45" customFormat="false" ht="17.25" hidden="false" customHeight="true" outlineLevel="0" collapsed="false">
      <c r="A45" s="27"/>
      <c r="B45" s="24" t="s">
        <v>66</v>
      </c>
      <c r="C45" s="22"/>
      <c r="D45" s="22"/>
      <c r="E45" s="22"/>
      <c r="F45" s="22"/>
      <c r="G45" s="23" t="n">
        <f aca="false">SUM(C45:F45)</f>
        <v>0</v>
      </c>
    </row>
    <row r="46" customFormat="false" ht="16.5" hidden="false" customHeight="true" outlineLevel="0" collapsed="false">
      <c r="A46" s="27"/>
      <c r="B46" s="33" t="s">
        <v>67</v>
      </c>
      <c r="C46" s="22"/>
      <c r="D46" s="22"/>
      <c r="E46" s="22"/>
      <c r="F46" s="22"/>
      <c r="G46" s="23" t="n">
        <f aca="false">SUM(C46:F46)</f>
        <v>0</v>
      </c>
    </row>
    <row r="47" customFormat="false" ht="16.5" hidden="false" customHeight="true" outlineLevel="0" collapsed="false">
      <c r="A47" s="27"/>
      <c r="B47" s="34" t="s">
        <v>68</v>
      </c>
      <c r="C47" s="22"/>
      <c r="D47" s="22"/>
      <c r="E47" s="22"/>
      <c r="F47" s="22"/>
      <c r="G47" s="23" t="n">
        <f aca="false">SUM(C47:F47)</f>
        <v>0</v>
      </c>
    </row>
    <row r="48" customFormat="false" ht="16.5" hidden="false" customHeight="true" outlineLevel="0" collapsed="false">
      <c r="A48" s="27"/>
      <c r="B48" s="21" t="s">
        <v>69</v>
      </c>
      <c r="C48" s="22"/>
      <c r="D48" s="22"/>
      <c r="E48" s="22"/>
      <c r="F48" s="22"/>
      <c r="G48" s="23" t="n">
        <f aca="false">SUM(C48:F48)</f>
        <v>0</v>
      </c>
    </row>
    <row r="49" customFormat="false" ht="16.5" hidden="false" customHeight="true" outlineLevel="0" collapsed="false">
      <c r="A49" s="27"/>
      <c r="B49" s="35" t="s">
        <v>70</v>
      </c>
      <c r="C49" s="26"/>
      <c r="D49" s="26"/>
      <c r="E49" s="26"/>
      <c r="F49" s="26"/>
      <c r="G49" s="12" t="n">
        <f aca="false">SUM(C49:F49)</f>
        <v>0</v>
      </c>
    </row>
    <row r="50" customFormat="false" ht="16.5" hidden="false" customHeight="true" outlineLevel="0" collapsed="false">
      <c r="A50" s="27" t="s">
        <v>71</v>
      </c>
      <c r="B50" s="24" t="s">
        <v>57</v>
      </c>
      <c r="C50" s="22"/>
      <c r="D50" s="22"/>
      <c r="E50" s="22"/>
      <c r="F50" s="22"/>
      <c r="G50" s="23" t="n">
        <f aca="false">SUM(C50:F50)</f>
        <v>0</v>
      </c>
    </row>
    <row r="51" customFormat="false" ht="16.5" hidden="false" customHeight="true" outlineLevel="0" collapsed="false">
      <c r="A51" s="27"/>
      <c r="B51" s="24" t="s">
        <v>72</v>
      </c>
      <c r="C51" s="22"/>
      <c r="D51" s="22"/>
      <c r="E51" s="22"/>
      <c r="F51" s="22"/>
      <c r="G51" s="23" t="n">
        <f aca="false">SUM(C51:F51)</f>
        <v>0</v>
      </c>
    </row>
    <row r="52" customFormat="false" ht="16.5" hidden="false" customHeight="true" outlineLevel="0" collapsed="false">
      <c r="A52" s="27"/>
      <c r="B52" s="24" t="s">
        <v>73</v>
      </c>
      <c r="C52" s="22"/>
      <c r="D52" s="22"/>
      <c r="E52" s="22"/>
      <c r="F52" s="22"/>
      <c r="G52" s="23" t="n">
        <f aca="false">SUM(C52:F52)</f>
        <v>0</v>
      </c>
    </row>
    <row r="53" customFormat="false" ht="16.5" hidden="false" customHeight="true" outlineLevel="0" collapsed="false">
      <c r="A53" s="27"/>
      <c r="B53" s="24" t="s">
        <v>74</v>
      </c>
      <c r="C53" s="22"/>
      <c r="D53" s="22"/>
      <c r="E53" s="22"/>
      <c r="F53" s="22"/>
      <c r="G53" s="23" t="n">
        <f aca="false">SUM(C53:F53)</f>
        <v>0</v>
      </c>
    </row>
    <row r="54" customFormat="false" ht="16.5" hidden="false" customHeight="true" outlineLevel="0" collapsed="false">
      <c r="A54" s="27"/>
      <c r="B54" s="24" t="s">
        <v>75</v>
      </c>
      <c r="C54" s="22"/>
      <c r="D54" s="22"/>
      <c r="E54" s="22"/>
      <c r="F54" s="22"/>
      <c r="G54" s="23" t="n">
        <f aca="false">SUM(C54:F54)</f>
        <v>0</v>
      </c>
    </row>
    <row r="55" customFormat="false" ht="16.5" hidden="false" customHeight="true" outlineLevel="0" collapsed="false">
      <c r="A55" s="27"/>
      <c r="B55" s="24" t="s">
        <v>76</v>
      </c>
      <c r="C55" s="22"/>
      <c r="D55" s="22"/>
      <c r="E55" s="22"/>
      <c r="F55" s="22"/>
      <c r="G55" s="23" t="n">
        <f aca="false">SUM(C55:F55)</f>
        <v>0</v>
      </c>
    </row>
    <row r="56" customFormat="false" ht="16.5" hidden="false" customHeight="true" outlineLevel="0" collapsed="false">
      <c r="A56" s="27"/>
      <c r="B56" s="24" t="s">
        <v>77</v>
      </c>
      <c r="C56" s="22"/>
      <c r="D56" s="22"/>
      <c r="E56" s="22"/>
      <c r="F56" s="22" t="n">
        <v>15</v>
      </c>
      <c r="G56" s="23" t="n">
        <f aca="false">IF(COUNT(C56:F56)=0,0,MAX(C56:F56))</f>
        <v>15</v>
      </c>
    </row>
    <row r="57" customFormat="false" ht="16.5" hidden="false" customHeight="true" outlineLevel="0" collapsed="false">
      <c r="A57" s="27"/>
      <c r="B57" s="24" t="s">
        <v>78</v>
      </c>
      <c r="C57" s="22"/>
      <c r="D57" s="22"/>
      <c r="E57" s="22"/>
      <c r="F57" s="22"/>
      <c r="G57" s="23" t="n">
        <f aca="false">SUM(C57:F57)</f>
        <v>0</v>
      </c>
    </row>
    <row r="58" customFormat="false" ht="16.5" hidden="false" customHeight="true" outlineLevel="0" collapsed="false">
      <c r="A58" s="27"/>
      <c r="B58" s="24" t="s">
        <v>79</v>
      </c>
      <c r="C58" s="22"/>
      <c r="D58" s="22"/>
      <c r="E58" s="22"/>
      <c r="F58" s="28" t="n">
        <v>5</v>
      </c>
      <c r="G58" s="23" t="n">
        <f aca="false">IF(SUM(C58:F58)&gt;0,7,0)</f>
        <v>7</v>
      </c>
    </row>
    <row r="59" customFormat="false" ht="16.5" hidden="false" customHeight="true" outlineLevel="0" collapsed="false">
      <c r="A59" s="27"/>
      <c r="B59" s="33" t="s">
        <v>80</v>
      </c>
      <c r="C59" s="22"/>
      <c r="D59" s="22"/>
      <c r="E59" s="22"/>
      <c r="F59" s="22"/>
      <c r="G59" s="23" t="n">
        <f aca="false">SUM(C59:F59)</f>
        <v>0</v>
      </c>
    </row>
    <row r="60" customFormat="false" ht="16.5" hidden="false" customHeight="true" outlineLevel="0" collapsed="false">
      <c r="A60" s="27"/>
      <c r="B60" s="33" t="s">
        <v>81</v>
      </c>
      <c r="C60" s="22"/>
      <c r="D60" s="22"/>
      <c r="E60" s="22"/>
      <c r="F60" s="22"/>
      <c r="G60" s="23" t="n">
        <f aca="false">SUM(C60:F60)</f>
        <v>0</v>
      </c>
    </row>
    <row r="61" customFormat="false" ht="16.5" hidden="false" customHeight="true" outlineLevel="0" collapsed="false">
      <c r="A61" s="27"/>
      <c r="B61" s="24" t="s">
        <v>82</v>
      </c>
      <c r="C61" s="22"/>
      <c r="D61" s="22"/>
      <c r="E61" s="22"/>
      <c r="F61" s="22"/>
      <c r="G61" s="23" t="n">
        <f aca="false">SUM(C61:F61)</f>
        <v>0</v>
      </c>
    </row>
    <row r="62" customFormat="false" ht="17.25" hidden="false" customHeight="true" outlineLevel="0" collapsed="false">
      <c r="A62" s="27"/>
      <c r="B62" s="25" t="s">
        <v>83</v>
      </c>
      <c r="C62" s="26"/>
      <c r="D62" s="10" t="n">
        <v>5</v>
      </c>
      <c r="E62" s="26"/>
      <c r="F62" s="26"/>
      <c r="G62" s="12" t="n">
        <f aca="false">SUM(C62:F62)</f>
        <v>5</v>
      </c>
    </row>
    <row r="63" customFormat="false" ht="17.25" hidden="false" customHeight="true" outlineLevel="0" collapsed="false">
      <c r="A63" s="27" t="s">
        <v>84</v>
      </c>
      <c r="B63" s="24" t="s">
        <v>85</v>
      </c>
      <c r="C63" s="22"/>
      <c r="D63" s="28" t="n">
        <v>100</v>
      </c>
      <c r="E63" s="22"/>
      <c r="F63" s="22"/>
      <c r="G63" s="23" t="n">
        <f aca="false">SUM(C63:F63)</f>
        <v>100</v>
      </c>
    </row>
    <row r="64" customFormat="false" ht="16.5" hidden="false" customHeight="true" outlineLevel="0" collapsed="false">
      <c r="A64" s="27"/>
      <c r="B64" s="24" t="s">
        <v>86</v>
      </c>
      <c r="C64" s="22"/>
      <c r="D64" s="22"/>
      <c r="E64" s="22"/>
      <c r="F64" s="22"/>
      <c r="G64" s="23" t="n">
        <f aca="false">SUM(C64:F64)</f>
        <v>0</v>
      </c>
    </row>
    <row r="65" customFormat="false" ht="16.5" hidden="false" customHeight="true" outlineLevel="0" collapsed="false">
      <c r="A65" s="27"/>
      <c r="B65" s="24" t="s">
        <v>87</v>
      </c>
      <c r="C65" s="22"/>
      <c r="D65" s="22"/>
      <c r="E65" s="22"/>
      <c r="F65" s="30"/>
      <c r="G65" s="23" t="n">
        <f aca="false">SUM(C65:F65)</f>
        <v>0</v>
      </c>
    </row>
    <row r="66" customFormat="false" ht="16.5" hidden="false" customHeight="true" outlineLevel="0" collapsed="false">
      <c r="A66" s="27"/>
      <c r="B66" s="24" t="s">
        <v>88</v>
      </c>
      <c r="C66" s="22"/>
      <c r="D66" s="22"/>
      <c r="E66" s="22"/>
      <c r="F66" s="30"/>
      <c r="G66" s="23" t="n">
        <f aca="false">SUM(C66:F66)</f>
        <v>0</v>
      </c>
    </row>
    <row r="67" customFormat="false" ht="16.5" hidden="false" customHeight="true" outlineLevel="0" collapsed="false">
      <c r="A67" s="27"/>
      <c r="B67" s="24" t="s">
        <v>89</v>
      </c>
      <c r="C67" s="22"/>
      <c r="D67" s="22"/>
      <c r="E67" s="22"/>
      <c r="F67" s="22"/>
      <c r="G67" s="23" t="n">
        <f aca="false">SUM(C67:F67)</f>
        <v>0</v>
      </c>
    </row>
    <row r="68" customFormat="false" ht="17.25" hidden="false" customHeight="true" outlineLevel="0" collapsed="false">
      <c r="A68" s="27"/>
      <c r="B68" s="24" t="s">
        <v>90</v>
      </c>
      <c r="C68" s="22"/>
      <c r="D68" s="22"/>
      <c r="E68" s="22"/>
      <c r="F68" s="22"/>
      <c r="G68" s="23" t="n">
        <f aca="false">SUM(C68:F68)</f>
        <v>0</v>
      </c>
    </row>
    <row r="69" customFormat="false" ht="16.5" hidden="false" customHeight="true" outlineLevel="0" collapsed="false">
      <c r="A69" s="27"/>
      <c r="B69" s="33" t="s">
        <v>91</v>
      </c>
      <c r="C69" s="22"/>
      <c r="D69" s="22"/>
      <c r="E69" s="22"/>
      <c r="F69" s="22"/>
      <c r="G69" s="23" t="n">
        <f aca="false">SUM(C69:F69)</f>
        <v>0</v>
      </c>
    </row>
    <row r="70" customFormat="false" ht="16.5" hidden="false" customHeight="true" outlineLevel="0" collapsed="false">
      <c r="A70" s="27"/>
      <c r="B70" s="24" t="s">
        <v>92</v>
      </c>
      <c r="C70" s="22"/>
      <c r="D70" s="22"/>
      <c r="E70" s="22"/>
      <c r="F70" s="22"/>
      <c r="G70" s="23" t="n">
        <f aca="false">SUM(C70:F70)</f>
        <v>0</v>
      </c>
    </row>
    <row r="71" customFormat="false" ht="16.5" hidden="false" customHeight="true" outlineLevel="0" collapsed="false">
      <c r="A71" s="27"/>
      <c r="B71" s="36" t="s">
        <v>93</v>
      </c>
      <c r="C71" s="19"/>
      <c r="D71" s="19"/>
      <c r="E71" s="19"/>
      <c r="F71" s="19"/>
      <c r="G71" s="20" t="n">
        <f aca="false">SUM(C71:F71)</f>
        <v>0</v>
      </c>
    </row>
    <row r="72" customFormat="false" ht="16.5" hidden="false" customHeight="true" outlineLevel="0" collapsed="false">
      <c r="A72" s="27"/>
      <c r="B72" s="24" t="s">
        <v>94</v>
      </c>
      <c r="C72" s="22"/>
      <c r="D72" s="22"/>
      <c r="E72" s="22"/>
      <c r="F72" s="30"/>
      <c r="G72" s="23" t="n">
        <f aca="false">SUM(C72:F72)</f>
        <v>0</v>
      </c>
    </row>
    <row r="73" customFormat="false" ht="16.5" hidden="false" customHeight="true" outlineLevel="0" collapsed="false">
      <c r="A73" s="27"/>
      <c r="B73" s="24" t="s">
        <v>95</v>
      </c>
      <c r="C73" s="22"/>
      <c r="D73" s="22"/>
      <c r="E73" s="22"/>
      <c r="F73" s="30"/>
      <c r="G73" s="23" t="n">
        <f aca="false">SUM(C73:F73)</f>
        <v>0</v>
      </c>
    </row>
    <row r="74" customFormat="false" ht="16.5" hidden="false" customHeight="true" outlineLevel="0" collapsed="false">
      <c r="A74" s="27"/>
      <c r="B74" s="24" t="s">
        <v>96</v>
      </c>
      <c r="C74" s="22"/>
      <c r="D74" s="22"/>
      <c r="E74" s="22"/>
      <c r="F74" s="22"/>
      <c r="G74" s="23" t="n">
        <f aca="false">SUM(C74:F74)</f>
        <v>0</v>
      </c>
    </row>
    <row r="75" customFormat="false" ht="16.5" hidden="false" customHeight="true" outlineLevel="0" collapsed="false">
      <c r="A75" s="27"/>
      <c r="B75" s="24" t="s">
        <v>97</v>
      </c>
      <c r="C75" s="22"/>
      <c r="D75" s="22"/>
      <c r="E75" s="22"/>
      <c r="F75" s="22"/>
      <c r="G75" s="23" t="n">
        <f aca="false">SUM(C75:F75)</f>
        <v>0</v>
      </c>
    </row>
    <row r="76" customFormat="false" ht="17.25" hidden="false" customHeight="true" outlineLevel="0" collapsed="false">
      <c r="A76" s="27"/>
      <c r="B76" s="24" t="s">
        <v>98</v>
      </c>
      <c r="C76" s="22"/>
      <c r="D76" s="22"/>
      <c r="E76" s="22"/>
      <c r="F76" s="22"/>
      <c r="G76" s="23" t="n">
        <f aca="false">SUM(C76:F76)</f>
        <v>0</v>
      </c>
    </row>
    <row r="77" customFormat="false" ht="16.5" hidden="false" customHeight="true" outlineLevel="0" collapsed="false">
      <c r="A77" s="27"/>
      <c r="B77" s="33" t="s">
        <v>99</v>
      </c>
      <c r="C77" s="22"/>
      <c r="D77" s="22"/>
      <c r="E77" s="22"/>
      <c r="F77" s="22"/>
      <c r="G77" s="23" t="n">
        <f aca="false">SUM(C77:F77)</f>
        <v>0</v>
      </c>
    </row>
    <row r="78" customFormat="false" ht="16.5" hidden="false" customHeight="true" outlineLevel="0" collapsed="false">
      <c r="A78" s="27"/>
      <c r="B78" s="33" t="s">
        <v>100</v>
      </c>
      <c r="C78" s="22"/>
      <c r="D78" s="22"/>
      <c r="E78" s="22"/>
      <c r="F78" s="22"/>
      <c r="G78" s="23" t="n">
        <f aca="false">SUM(C78:F78)</f>
        <v>0</v>
      </c>
    </row>
    <row r="79" customFormat="false" ht="17.25" hidden="false" customHeight="true" outlineLevel="0" collapsed="false">
      <c r="A79" s="27"/>
      <c r="B79" s="37" t="s">
        <v>101</v>
      </c>
      <c r="C79" s="26"/>
      <c r="D79" s="26"/>
      <c r="E79" s="26"/>
      <c r="F79" s="26"/>
      <c r="G79" s="12" t="n">
        <f aca="false">SUM(C79:F79)</f>
        <v>0</v>
      </c>
    </row>
    <row r="80" customFormat="false" ht="17.25" hidden="false" customHeight="true" outlineLevel="0" collapsed="false">
      <c r="A80" s="27" t="s">
        <v>102</v>
      </c>
      <c r="B80" s="24" t="s">
        <v>103</v>
      </c>
      <c r="C80" s="22"/>
      <c r="D80" s="28" t="n">
        <v>3000</v>
      </c>
      <c r="E80" s="22"/>
      <c r="F80" s="22"/>
      <c r="G80" s="23" t="n">
        <f aca="false">SUM(C80:F80)</f>
        <v>3000</v>
      </c>
    </row>
    <row r="81" customFormat="false" ht="17.25" hidden="false" customHeight="true" outlineLevel="0" collapsed="false">
      <c r="A81" s="27"/>
      <c r="B81" s="24" t="s">
        <v>104</v>
      </c>
      <c r="C81" s="22"/>
      <c r="D81" s="28" t="n">
        <v>500</v>
      </c>
      <c r="E81" s="22"/>
      <c r="F81" s="22"/>
      <c r="G81" s="23" t="n">
        <f aca="false">SUM(C81:F81)</f>
        <v>500</v>
      </c>
    </row>
    <row r="82" customFormat="false" ht="16.5" hidden="false" customHeight="true" outlineLevel="0" collapsed="false">
      <c r="A82" s="27"/>
      <c r="B82" s="24" t="s">
        <v>105</v>
      </c>
      <c r="C82" s="22"/>
      <c r="D82" s="28" t="n">
        <v>20000</v>
      </c>
      <c r="E82" s="22"/>
      <c r="F82" s="22"/>
      <c r="G82" s="23" t="n">
        <f aca="false">SUM(C82:F82)</f>
        <v>20000</v>
      </c>
    </row>
    <row r="83" customFormat="false" ht="17.25" hidden="false" customHeight="true" outlineLevel="0" collapsed="false">
      <c r="A83" s="27"/>
      <c r="B83" s="33" t="s">
        <v>106</v>
      </c>
      <c r="C83" s="22"/>
      <c r="D83" s="28" t="n">
        <v>1000</v>
      </c>
      <c r="E83" s="22"/>
      <c r="F83" s="22"/>
      <c r="G83" s="23" t="n">
        <f aca="false">SUM(C83:F83)</f>
        <v>1000</v>
      </c>
    </row>
    <row r="84" customFormat="false" ht="16.5" hidden="false" customHeight="true" outlineLevel="0" collapsed="false">
      <c r="A84" s="27"/>
      <c r="B84" s="24" t="s">
        <v>107</v>
      </c>
      <c r="C84" s="22"/>
      <c r="D84" s="28" t="n">
        <v>5000</v>
      </c>
      <c r="E84" s="22"/>
      <c r="F84" s="22"/>
      <c r="G84" s="23" t="n">
        <f aca="false">SUM(C84:F84)</f>
        <v>5000</v>
      </c>
    </row>
    <row r="85" customFormat="false" ht="17.25" hidden="false" customHeight="true" outlineLevel="0" collapsed="false">
      <c r="A85" s="27"/>
      <c r="B85" s="25" t="s">
        <v>108</v>
      </c>
      <c r="C85" s="26"/>
      <c r="D85" s="10" t="n">
        <v>30</v>
      </c>
      <c r="E85" s="26"/>
      <c r="F85" s="26"/>
      <c r="G85" s="12" t="n">
        <f aca="false">MIN(SUM(C85:F85),80)</f>
        <v>30</v>
      </c>
    </row>
    <row r="86" customFormat="false" ht="16.5" hidden="false" customHeight="true" outlineLevel="0" collapsed="false">
      <c r="A86" s="27" t="s">
        <v>109</v>
      </c>
      <c r="B86" s="24" t="s">
        <v>110</v>
      </c>
      <c r="C86" s="22"/>
      <c r="D86" s="28" t="n">
        <v>10</v>
      </c>
      <c r="E86" s="22"/>
      <c r="F86" s="22"/>
      <c r="G86" s="23" t="n">
        <f aca="false">SUM(C86:F86)</f>
        <v>10</v>
      </c>
    </row>
    <row r="87" customFormat="false" ht="16.5" hidden="false" customHeight="true" outlineLevel="0" collapsed="false">
      <c r="A87" s="27"/>
      <c r="B87" s="24" t="s">
        <v>111</v>
      </c>
      <c r="C87" s="22"/>
      <c r="D87" s="28" t="n">
        <v>40</v>
      </c>
      <c r="E87" s="22"/>
      <c r="F87" s="22"/>
      <c r="G87" s="23" t="n">
        <f aca="false">SUM(C87:F87)</f>
        <v>40</v>
      </c>
    </row>
    <row r="88" customFormat="false" ht="17.25" hidden="false" customHeight="true" outlineLevel="0" collapsed="false">
      <c r="A88" s="27"/>
      <c r="B88" s="37" t="s">
        <v>112</v>
      </c>
      <c r="C88" s="26"/>
      <c r="D88" s="26"/>
      <c r="E88" s="26"/>
      <c r="F88" s="26"/>
      <c r="G88" s="12" t="n">
        <f aca="false">SUM(C88:F88)</f>
        <v>0</v>
      </c>
    </row>
    <row r="89" customFormat="false" ht="17.25" hidden="false" customHeight="true" outlineLevel="0" collapsed="false">
      <c r="A89" s="38" t="s">
        <v>113</v>
      </c>
      <c r="B89" s="25" t="s">
        <v>114</v>
      </c>
      <c r="C89" s="26"/>
      <c r="D89" s="10" t="n">
        <v>5</v>
      </c>
      <c r="E89" s="26"/>
      <c r="F89" s="26"/>
      <c r="G89" s="12" t="n">
        <f aca="false">SUM(C89:F89)</f>
        <v>5</v>
      </c>
    </row>
    <row r="90" customFormat="false" ht="17.25" hidden="false" customHeight="false" outlineLevel="0" collapsed="false">
      <c r="A90" s="38" t="s">
        <v>115</v>
      </c>
      <c r="B90" s="25" t="s">
        <v>115</v>
      </c>
      <c r="C90" s="26"/>
      <c r="D90" s="26"/>
      <c r="E90" s="26"/>
      <c r="F90" s="26"/>
      <c r="G90" s="12" t="n">
        <f aca="false">SUM(C90:F90)</f>
        <v>0</v>
      </c>
    </row>
    <row r="91" customFormat="false" ht="17.25" hidden="false" customHeight="false" outlineLevel="0" collapsed="false">
      <c r="A91" s="27" t="s">
        <v>116</v>
      </c>
      <c r="B91" s="24" t="s">
        <v>117</v>
      </c>
      <c r="C91" s="22"/>
      <c r="D91" s="28" t="n">
        <v>25</v>
      </c>
      <c r="E91" s="22"/>
      <c r="F91" s="22"/>
      <c r="G91" s="23" t="n">
        <f aca="false">SUM(C91:F91)</f>
        <v>25</v>
      </c>
    </row>
    <row r="92" customFormat="false" ht="17.25" hidden="false" customHeight="false" outlineLevel="0" collapsed="false">
      <c r="A92" s="27"/>
      <c r="B92" s="25" t="s">
        <v>118</v>
      </c>
      <c r="C92" s="26"/>
      <c r="D92" s="26"/>
      <c r="E92" s="26"/>
      <c r="F92" s="26"/>
      <c r="G92" s="12" t="n">
        <f aca="false">SUM(C92:F92)</f>
        <v>0</v>
      </c>
    </row>
    <row r="93" customFormat="false" ht="17.25" hidden="false" customHeight="false" outlineLevel="0" collapsed="false">
      <c r="A93" s="27" t="s">
        <v>119</v>
      </c>
      <c r="B93" s="24" t="s">
        <v>120</v>
      </c>
      <c r="C93" s="22"/>
      <c r="D93" s="22"/>
      <c r="E93" s="22"/>
      <c r="F93" s="22"/>
      <c r="G93" s="23" t="n">
        <f aca="false">SUM(C93:F93)</f>
        <v>0</v>
      </c>
    </row>
    <row r="94" customFormat="false" ht="17.25" hidden="false" customHeight="false" outlineLevel="0" collapsed="false">
      <c r="A94" s="27"/>
      <c r="B94" s="25" t="s">
        <v>121</v>
      </c>
      <c r="C94" s="26"/>
      <c r="D94" s="10" t="n">
        <v>30</v>
      </c>
      <c r="E94" s="26"/>
      <c r="F94" s="26"/>
      <c r="G94" s="12" t="n">
        <f aca="false">SUM(C94:F94)</f>
        <v>30</v>
      </c>
    </row>
    <row r="95" customFormat="false" ht="17.25" hidden="false" customHeight="false" outlineLevel="0" collapsed="false">
      <c r="A95" s="27" t="s">
        <v>122</v>
      </c>
      <c r="B95" s="24" t="s">
        <v>123</v>
      </c>
      <c r="C95" s="30"/>
      <c r="D95" s="30"/>
      <c r="E95" s="28"/>
      <c r="F95" s="30"/>
      <c r="G95" s="23" t="n">
        <f aca="false">MIN(SUM(C95:F95),5000)</f>
        <v>0</v>
      </c>
    </row>
    <row r="96" customFormat="false" ht="17.25" hidden="false" customHeight="false" outlineLevel="0" collapsed="false">
      <c r="A96" s="27"/>
      <c r="B96" s="24" t="s">
        <v>124</v>
      </c>
      <c r="C96" s="30"/>
      <c r="D96" s="30"/>
      <c r="E96" s="28"/>
      <c r="F96" s="30"/>
      <c r="G96" s="23" t="n">
        <f aca="false">SUM(C96:F96)</f>
        <v>0</v>
      </c>
    </row>
    <row r="97" customFormat="false" ht="17.25" hidden="false" customHeight="false" outlineLevel="0" collapsed="false">
      <c r="A97" s="27"/>
      <c r="B97" s="24" t="s">
        <v>125</v>
      </c>
      <c r="C97" s="22"/>
      <c r="D97" s="22"/>
      <c r="E97" s="22"/>
      <c r="F97" s="22"/>
      <c r="G97" s="23" t="n">
        <f aca="false">SUM(C97:F97)</f>
        <v>0</v>
      </c>
    </row>
    <row r="98" customFormat="false" ht="17.25" hidden="false" customHeight="false" outlineLevel="0" collapsed="false">
      <c r="A98" s="27"/>
      <c r="B98" s="25" t="s">
        <v>126</v>
      </c>
      <c r="C98" s="26"/>
      <c r="D98" s="26"/>
      <c r="E98" s="26"/>
      <c r="F98" s="26"/>
      <c r="G98" s="12" t="n">
        <f aca="false">SUM(C98:F98)</f>
        <v>0</v>
      </c>
    </row>
    <row r="99" customFormat="false" ht="17.25" hidden="false" customHeight="false" outlineLevel="0" collapsed="false">
      <c r="A99" s="38" t="s">
        <v>127</v>
      </c>
      <c r="B99" s="25" t="s">
        <v>128</v>
      </c>
      <c r="C99" s="39"/>
      <c r="D99" s="39"/>
      <c r="E99" s="10" t="n">
        <v>10000</v>
      </c>
      <c r="F99" s="39"/>
      <c r="G99" s="12" t="n">
        <f aca="false">SUM(C99:F99)</f>
        <v>10000</v>
      </c>
    </row>
  </sheetData>
  <mergeCells count="17">
    <mergeCell ref="A1:B1"/>
    <mergeCell ref="A2:B2"/>
    <mergeCell ref="A3:B3"/>
    <mergeCell ref="A4:B4"/>
    <mergeCell ref="A5:B5"/>
    <mergeCell ref="A6:A10"/>
    <mergeCell ref="A11:A14"/>
    <mergeCell ref="A15:A29"/>
    <mergeCell ref="A30:A37"/>
    <mergeCell ref="A38:A49"/>
    <mergeCell ref="A50:A62"/>
    <mergeCell ref="A63:A79"/>
    <mergeCell ref="A80:A85"/>
    <mergeCell ref="A86:A88"/>
    <mergeCell ref="A91:A92"/>
    <mergeCell ref="A93:A94"/>
    <mergeCell ref="A95:A9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8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" defaultRowHeight="17.2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10"/>
  </cols>
  <sheetData>
    <row r="1" customFormat="false" ht="19.5" hidden="false" customHeight="true" outlineLevel="0" collapsed="false">
      <c r="A1" s="40" t="s">
        <v>129</v>
      </c>
    </row>
    <row r="3" customFormat="false" ht="16.5" hidden="false" customHeight="true" outlineLevel="0" collapsed="false">
      <c r="A3" s="41" t="s">
        <v>130</v>
      </c>
      <c r="B3" s="42" t="s">
        <v>131</v>
      </c>
    </row>
    <row r="4" customFormat="false" ht="16.5" hidden="false" customHeight="true" outlineLevel="0" collapsed="false">
      <c r="A4" s="41" t="s">
        <v>132</v>
      </c>
      <c r="B4" s="42" t="s">
        <v>133</v>
      </c>
    </row>
    <row r="5" customFormat="false" ht="16.5" hidden="false" customHeight="true" outlineLevel="0" collapsed="false">
      <c r="A5" s="41" t="s">
        <v>134</v>
      </c>
      <c r="B5" s="42" t="s">
        <v>135</v>
      </c>
    </row>
    <row r="6" customFormat="false" ht="16.5" hidden="false" customHeight="true" outlineLevel="0" collapsed="false">
      <c r="A6" s="41" t="s">
        <v>136</v>
      </c>
      <c r="B6" s="42" t="s">
        <v>137</v>
      </c>
    </row>
    <row r="7" customFormat="false" ht="16.5" hidden="false" customHeight="true" outlineLevel="0" collapsed="false">
      <c r="A7" s="41" t="s">
        <v>138</v>
      </c>
      <c r="B7" s="42" t="s">
        <v>139</v>
      </c>
    </row>
    <row r="8" customFormat="false" ht="16.5" hidden="false" customHeight="true" outlineLevel="0" collapsed="false">
      <c r="A8" s="41" t="s">
        <v>140</v>
      </c>
      <c r="B8" s="43" t="s">
        <v>141</v>
      </c>
    </row>
    <row r="9" customFormat="false" ht="16.5" hidden="false" customHeight="true" outlineLevel="0" collapsed="false">
      <c r="A9" s="41" t="s">
        <v>142</v>
      </c>
      <c r="B9" s="42" t="s">
        <v>143</v>
      </c>
    </row>
    <row r="10" customFormat="false" ht="16.5" hidden="false" customHeight="true" outlineLevel="0" collapsed="false">
      <c r="A10" s="41" t="s">
        <v>144</v>
      </c>
      <c r="B10" s="42" t="s">
        <v>145</v>
      </c>
    </row>
    <row r="11" customFormat="false" ht="16.5" hidden="false" customHeight="true" outlineLevel="0" collapsed="false">
      <c r="A11" s="41" t="s">
        <v>146</v>
      </c>
      <c r="B11" s="42" t="s">
        <v>147</v>
      </c>
    </row>
    <row r="12" customFormat="false" ht="16.5" hidden="false" customHeight="true" outlineLevel="0" collapsed="false">
      <c r="A12" s="41" t="s">
        <v>148</v>
      </c>
      <c r="B12" s="43" t="s">
        <v>149</v>
      </c>
    </row>
    <row r="13" customFormat="false" ht="16.5" hidden="false" customHeight="true" outlineLevel="0" collapsed="false">
      <c r="A13" s="41" t="s">
        <v>150</v>
      </c>
      <c r="B13" s="42" t="s">
        <v>151</v>
      </c>
    </row>
    <row r="14" customFormat="false" ht="16.5" hidden="false" customHeight="true" outlineLevel="0" collapsed="false">
      <c r="A14" s="41" t="s">
        <v>152</v>
      </c>
      <c r="B14" s="42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34"/>
    <col collapsed="false" customWidth="true" hidden="false" outlineLevel="0" max="4" min="4" style="1" width="40"/>
    <col collapsed="false" customWidth="true" hidden="false" outlineLevel="0" max="5" min="5" style="1" width="12"/>
  </cols>
  <sheetData>
    <row r="1" customFormat="false" ht="17.15" hidden="false" customHeight="false" outlineLevel="0" collapsed="false">
      <c r="A1" s="44" t="s">
        <v>154</v>
      </c>
    </row>
    <row r="3" customFormat="false" ht="15" hidden="false" customHeight="false" outlineLevel="0" collapsed="false">
      <c r="A3" s="44" t="s">
        <v>155</v>
      </c>
      <c r="B3" s="41" t="n">
        <v>4</v>
      </c>
    </row>
    <row r="4" customFormat="false" ht="17.15" hidden="false" customHeight="false" outlineLevel="0" collapsed="false">
      <c r="A4" s="44" t="s">
        <v>156</v>
      </c>
      <c r="B4" s="41" t="s">
        <v>157</v>
      </c>
    </row>
    <row r="6" customFormat="false" ht="17.15" hidden="false" customHeight="false" outlineLevel="0" collapsed="false">
      <c r="A6" s="41" t="s">
        <v>158</v>
      </c>
    </row>
    <row r="7" customFormat="false" ht="17.15" hidden="false" customHeight="false" outlineLevel="0" collapsed="false">
      <c r="A7" s="44" t="s">
        <v>159</v>
      </c>
      <c r="B7" s="44" t="s">
        <v>160</v>
      </c>
      <c r="C7" s="44" t="s">
        <v>161</v>
      </c>
      <c r="D7" s="44" t="s">
        <v>162</v>
      </c>
      <c r="E7" s="44" t="s">
        <v>163</v>
      </c>
    </row>
    <row r="8" customFormat="false" ht="17.15" hidden="false" customHeight="false" outlineLevel="0" collapsed="false">
      <c r="A8" s="44" t="s">
        <v>164</v>
      </c>
      <c r="B8" s="44" t="s">
        <v>165</v>
      </c>
      <c r="C8" s="41" t="n">
        <v>50</v>
      </c>
      <c r="D8" s="41"/>
      <c r="E8" s="45" t="s">
        <v>166</v>
      </c>
    </row>
    <row r="9" customFormat="false" ht="17.15" hidden="false" customHeight="false" outlineLevel="0" collapsed="false">
      <c r="A9" s="44" t="s">
        <v>164</v>
      </c>
      <c r="B9" s="44" t="s">
        <v>167</v>
      </c>
      <c r="C9" s="41" t="n">
        <v>20</v>
      </c>
      <c r="D9" s="41"/>
      <c r="E9" s="45" t="s">
        <v>166</v>
      </c>
    </row>
    <row r="10" customFormat="false" ht="17.15" hidden="false" customHeight="false" outlineLevel="0" collapsed="false">
      <c r="A10" s="44" t="s">
        <v>164</v>
      </c>
      <c r="B10" s="44" t="s">
        <v>168</v>
      </c>
      <c r="C10" s="41" t="n">
        <v>20</v>
      </c>
      <c r="D10" s="41"/>
      <c r="E10" s="45" t="s">
        <v>166</v>
      </c>
    </row>
    <row r="11" customFormat="false" ht="17.15" hidden="false" customHeight="false" outlineLevel="0" collapsed="false">
      <c r="A11" s="44" t="s">
        <v>164</v>
      </c>
      <c r="B11" s="44" t="s">
        <v>169</v>
      </c>
      <c r="C11" s="41" t="n">
        <v>50</v>
      </c>
      <c r="D11" s="41"/>
      <c r="E11" s="45" t="s">
        <v>166</v>
      </c>
    </row>
    <row r="12" customFormat="false" ht="17.15" hidden="false" customHeight="false" outlineLevel="0" collapsed="false">
      <c r="A12" s="44" t="s">
        <v>170</v>
      </c>
      <c r="B12" s="44" t="s">
        <v>125</v>
      </c>
      <c r="C12" s="41" t="n">
        <v>0</v>
      </c>
      <c r="D12" s="41"/>
      <c r="E12" s="45" t="s">
        <v>166</v>
      </c>
    </row>
    <row r="13" customFormat="false" ht="17.15" hidden="false" customHeight="false" outlineLevel="0" collapsed="false">
      <c r="A13" s="41" t="s">
        <v>171</v>
      </c>
      <c r="B13" s="44" t="s">
        <v>172</v>
      </c>
      <c r="C13" s="41" t="n">
        <v>10</v>
      </c>
      <c r="D13" s="41"/>
      <c r="E13" s="45" t="s">
        <v>166</v>
      </c>
    </row>
    <row r="14" customFormat="false" ht="17.15" hidden="false" customHeight="false" outlineLevel="0" collapsed="false">
      <c r="A14" s="41" t="s">
        <v>171</v>
      </c>
      <c r="B14" s="44" t="s">
        <v>173</v>
      </c>
      <c r="C14" s="41" t="n">
        <v>15</v>
      </c>
      <c r="D14" s="41"/>
      <c r="E14" s="45" t="s">
        <v>166</v>
      </c>
    </row>
    <row r="15" customFormat="false" ht="17.15" hidden="false" customHeight="false" outlineLevel="0" collapsed="false">
      <c r="A15" s="41" t="s">
        <v>171</v>
      </c>
      <c r="B15" s="44" t="s">
        <v>174</v>
      </c>
      <c r="C15" s="41" t="n">
        <v>2</v>
      </c>
      <c r="D15" s="41"/>
      <c r="E15" s="45" t="s">
        <v>166</v>
      </c>
    </row>
    <row r="16" customFormat="false" ht="17.15" hidden="false" customHeight="false" outlineLevel="0" collapsed="false">
      <c r="A16" s="41" t="s">
        <v>171</v>
      </c>
      <c r="B16" s="44" t="s">
        <v>175</v>
      </c>
      <c r="C16" s="41" t="n">
        <v>15</v>
      </c>
      <c r="D16" s="41"/>
      <c r="E16" s="45" t="s">
        <v>166</v>
      </c>
    </row>
    <row r="17" customFormat="false" ht="17.15" hidden="false" customHeight="false" outlineLevel="0" collapsed="false">
      <c r="A17" s="41" t="s">
        <v>171</v>
      </c>
      <c r="B17" s="44" t="s">
        <v>176</v>
      </c>
      <c r="C17" s="41" t="n">
        <v>2</v>
      </c>
      <c r="D17" s="41"/>
      <c r="E17" s="45" t="s">
        <v>166</v>
      </c>
    </row>
    <row r="18" customFormat="false" ht="17.15" hidden="false" customHeight="false" outlineLevel="0" collapsed="false">
      <c r="A18" s="41" t="s">
        <v>171</v>
      </c>
      <c r="B18" s="44" t="s">
        <v>177</v>
      </c>
      <c r="C18" s="41" t="n">
        <v>0</v>
      </c>
      <c r="D18" s="41"/>
      <c r="E18" s="45" t="s">
        <v>166</v>
      </c>
    </row>
    <row r="22" customFormat="false" ht="17.15" hidden="false" customHeight="false" outlineLevel="0" collapsed="false">
      <c r="A22" s="41" t="s">
        <v>178</v>
      </c>
    </row>
    <row r="23" customFormat="false" ht="17.15" hidden="false" customHeight="false" outlineLevel="0" collapsed="false">
      <c r="A23" s="44" t="s">
        <v>159</v>
      </c>
      <c r="B23" s="44" t="s">
        <v>179</v>
      </c>
      <c r="C23" s="44" t="s">
        <v>180</v>
      </c>
      <c r="D23" s="44" t="s">
        <v>181</v>
      </c>
    </row>
    <row r="24" customFormat="false" ht="17.15" hidden="false" customHeight="false" outlineLevel="0" collapsed="false">
      <c r="A24" s="44" t="s">
        <v>170</v>
      </c>
      <c r="B24" s="41" t="s">
        <v>10</v>
      </c>
      <c r="C24" s="44" t="s">
        <v>182</v>
      </c>
      <c r="D24" s="41" t="s">
        <v>183</v>
      </c>
    </row>
    <row r="26" customFormat="false" ht="17.15" hidden="false" customHeight="false" outlineLevel="0" collapsed="false">
      <c r="A26" s="41" t="s">
        <v>184</v>
      </c>
    </row>
    <row r="27" customFormat="false" ht="17.15" hidden="false" customHeight="false" outlineLevel="0" collapsed="false">
      <c r="A27" s="44" t="s">
        <v>159</v>
      </c>
      <c r="B27" s="44" t="s">
        <v>185</v>
      </c>
      <c r="C27" s="44" t="s">
        <v>186</v>
      </c>
      <c r="D27" s="44" t="s">
        <v>161</v>
      </c>
    </row>
    <row r="28" customFormat="false" ht="15" hidden="false" customHeight="false" outlineLevel="0" collapsed="false">
      <c r="A28" s="44" t="s">
        <v>164</v>
      </c>
      <c r="B28" s="44" t="s">
        <v>85</v>
      </c>
      <c r="C28" s="44" t="s">
        <v>85</v>
      </c>
      <c r="D28" s="41" t="n">
        <v>100</v>
      </c>
    </row>
    <row r="30" customFormat="false" ht="17.15" hidden="false" customHeight="false" outlineLevel="0" collapsed="false">
      <c r="A30" s="41" t="s">
        <v>187</v>
      </c>
    </row>
    <row r="31" customFormat="false" ht="17.15" hidden="false" customHeight="false" outlineLevel="0" collapsed="false">
      <c r="A31" s="44" t="s">
        <v>159</v>
      </c>
      <c r="B31" s="44" t="s">
        <v>185</v>
      </c>
      <c r="C31" s="44" t="s">
        <v>188</v>
      </c>
      <c r="D31" s="44" t="s">
        <v>161</v>
      </c>
    </row>
    <row r="32" customFormat="false" ht="17.15" hidden="false" customHeight="false" outlineLevel="0" collapsed="false">
      <c r="A32" s="41" t="s">
        <v>189</v>
      </c>
      <c r="B32" s="44" t="s">
        <v>190</v>
      </c>
      <c r="C32" s="44" t="s">
        <v>35</v>
      </c>
      <c r="D32" s="41" t="n">
        <v>2000</v>
      </c>
    </row>
    <row r="33" customFormat="false" ht="17.15" hidden="false" customHeight="false" outlineLevel="0" collapsed="false">
      <c r="A33" s="41" t="s">
        <v>189</v>
      </c>
      <c r="B33" s="44" t="s">
        <v>191</v>
      </c>
      <c r="C33" s="44" t="s">
        <v>34</v>
      </c>
      <c r="D33" s="41" t="n">
        <v>4000</v>
      </c>
    </row>
    <row r="34" customFormat="false" ht="17.15" hidden="false" customHeight="false" outlineLevel="0" collapsed="false">
      <c r="A34" s="41" t="s">
        <v>189</v>
      </c>
      <c r="B34" s="44" t="s">
        <v>192</v>
      </c>
      <c r="C34" s="44" t="s">
        <v>193</v>
      </c>
      <c r="D34" s="41" t="n">
        <v>400</v>
      </c>
    </row>
    <row r="35" customFormat="false" ht="17.15" hidden="false" customHeight="false" outlineLevel="0" collapsed="false">
      <c r="A35" s="41" t="s">
        <v>171</v>
      </c>
      <c r="B35" s="44" t="s">
        <v>194</v>
      </c>
      <c r="C35" s="44" t="s">
        <v>35</v>
      </c>
      <c r="D35" s="41" t="n">
        <v>100</v>
      </c>
    </row>
    <row r="36" customFormat="false" ht="17.15" hidden="false" customHeight="false" outlineLevel="0" collapsed="false">
      <c r="A36" s="41" t="s">
        <v>171</v>
      </c>
      <c r="B36" s="44" t="s">
        <v>195</v>
      </c>
      <c r="C36" s="44" t="s">
        <v>193</v>
      </c>
      <c r="D36" s="41" t="n">
        <v>10</v>
      </c>
    </row>
    <row r="37" customFormat="false" ht="17.15" hidden="false" customHeight="false" outlineLevel="0" collapsed="false">
      <c r="A37" s="41" t="s">
        <v>171</v>
      </c>
      <c r="B37" s="44" t="s">
        <v>196</v>
      </c>
      <c r="C37" s="44" t="s">
        <v>35</v>
      </c>
      <c r="D37" s="41" t="n">
        <v>100</v>
      </c>
    </row>
  </sheetData>
  <hyperlinks>
    <hyperlink ref="E8" r:id="rId1" display="🔗약관검색"/>
    <hyperlink ref="E9" r:id="rId2" display="🔗약관검색"/>
    <hyperlink ref="E10" r:id="rId3" display="🔗약관검색"/>
    <hyperlink ref="E11" r:id="rId4" display="🔗약관검색"/>
    <hyperlink ref="E12" r:id="rId5" display="🔗약관검색"/>
    <hyperlink ref="E13" r:id="rId6" display="🔗약관검색"/>
    <hyperlink ref="E14" r:id="rId7" display="🔗약관검색"/>
    <hyperlink ref="E15" r:id="rId8" display="🔗약관검색"/>
    <hyperlink ref="E16" r:id="rId9" display="🔗약관검색"/>
    <hyperlink ref="E17" r:id="rId10" display="🔗약관검색"/>
    <hyperlink ref="E18" r:id="rId11" display="🔗약관검색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2022-06-08T10:29:30Z</dcterms:created>
  <dc:creator>user</dc:creator>
  <dc:description/>
  <dc:language>en-US</dc:language>
  <cp:lastModifiedBy>Windows</cp:lastModifiedBy>
  <cp:lastPrinted>2026-05-12T16:05:05Z</cp:lastPrinted>
  <dcterms:modified xsi:type="dcterms:W3CDTF">2026-07-08T04:10:47Z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