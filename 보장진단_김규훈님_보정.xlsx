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0000"/>
      <sz val="9"/>
    </font>
    <font>
      <name val="맑은 고딕"/>
      <color rgb="000070C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C00000"/>
      </patternFill>
    </fill>
    <fill>
      <patternFill patternType="solid">
        <fgColor rgb="000070C0"/>
      </patternFill>
    </fill>
    <fill>
      <patternFill patternType="solid">
        <fgColor rgb="002E75B6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 applyAlignment="1">
      <alignment vertical="center"/>
    </xf>
  </cellStyleXfs>
  <cellXfs count="197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164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3" fontId="14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164" fontId="14" fillId="0" borderId="57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0" fontId="6" fillId="2" borderId="56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164" fontId="7" fillId="0" borderId="58" applyAlignment="1" pivotButton="0" quotePrefix="0" xfId="0">
      <alignment horizontal="center" vertical="center"/>
    </xf>
    <xf numFmtId="164" fontId="8" fillId="0" borderId="58" applyAlignment="1" pivotButton="0" quotePrefix="0" xfId="0">
      <alignment horizontal="center" vertical="center"/>
    </xf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3" fontId="14" fillId="0" borderId="61" applyAlignment="1" pivotButton="0" quotePrefix="0" xfId="0">
      <alignment horizontal="center" vertical="center"/>
    </xf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3" fontId="14" fillId="0" borderId="64" applyAlignment="1" pivotButton="0" quotePrefix="0" xfId="0">
      <alignment horizontal="center" vertical="center"/>
    </xf>
    <xf numFmtId="0" fontId="4" fillId="2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5" fillId="0" borderId="63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164" fontId="9" fillId="0" borderId="63" applyAlignment="1" pivotButton="0" quotePrefix="0" xfId="0">
      <alignment horizontal="center" vertical="center"/>
    </xf>
    <xf numFmtId="0" fontId="0" fillId="0" borderId="63" pivotButton="0" quotePrefix="0" xfId="0"/>
    <xf numFmtId="3" fontId="14" fillId="0" borderId="64" pivotButton="0" quotePrefix="0" xfId="0"/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0" fontId="16" fillId="0" borderId="0" pivotButton="0" quotePrefix="0" xfId="0"/>
    <xf numFmtId="0" fontId="0" fillId="0" borderId="73" pivotButton="0" quotePrefix="0" xfId="0"/>
    <xf numFmtId="0" fontId="0" fillId="0" borderId="70" pivotButton="0" quotePrefix="0" xfId="0"/>
    <xf numFmtId="0" fontId="0" fillId="0" borderId="66" pivotButton="0" quotePrefix="0" xfId="0"/>
    <xf numFmtId="0" fontId="0" fillId="0" borderId="6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%ED%95%9C%ED%99%94%EC%86%90%EB%B3%B4%20%ED%95%9C%ED%99%94%20%EC%9A%B4%EC%A0%84%EC%9E%90%EC%83%81%ED%95%B4%EB%B3%B4%ED%97%98%20%EB%AC%B4%EB%B0%B0%EB%8B%B92504%20%EB%B3%B4%EB%B3%B5%EC%9A%B4%EC%A0%84%ED%94%BC%ED%95%B4%EB%B3%B4%EC%9E%A5%20II%20%20%EC%95%BD%EA%B4%80%20%EB%B3%B4%EC%9E%A5%EB%82%B4%EC%9A%A9" TargetMode="External" Id="rId1"/><Relationship Type="http://schemas.openxmlformats.org/officeDocument/2006/relationships/hyperlink" Target="https://search.naver.com/search.naver?query=%ED%95%9C%ED%99%94%EC%86%90%EB%B3%B4%20%ED%95%9C%ED%99%94%20%EC%9A%B4%EC%A0%84%EC%9E%90%EC%83%81%ED%95%B4%EB%B3%B4%ED%97%98%20%EB%AC%B4%EB%B0%B0%EB%8B%B92504%20%EC%9B%90%EA%B2%A9%EC%A7%80%EC%82%AC%EA%B3%A0%EC%8B%9C%EC%9A%B4%EB%B0%98%EB%B9%84%EC%9A%A9%EF%BC%88%EC%8B%A4%20%EC%95%BD%EA%B4%80%20%EB%B3%B4%EC%9E%A5%EB%82%B4%EC%9A%A9" TargetMode="External" Id="rId2"/><Relationship Type="http://schemas.openxmlformats.org/officeDocument/2006/relationships/hyperlink" Target="https://search.naver.com/search.naver?query=%ED%95%9C%ED%99%94%EC%86%90%EB%B3%B4%20%ED%95%9C%ED%99%94%20%EC%9A%B4%EC%A0%84%EC%9E%90%EC%83%81%ED%95%B4%EB%B3%B4%ED%97%98%20%EB%AC%B4%EB%B0%B0%EB%8B%B92504%20%ED%8A%B9%EC%A0%95%EC%83%81%ED%95%B4%EC%84%B1%ED%83%88%EA%B5%AC%EC%A7%84%EB%8B%A8%EB%B9%84%20%EF%BC%88%20%EC%95%BD%EA%B4%80%20%EB%B3%B4%EC%9E%A5%EB%82%B4%EC%9A%A9" TargetMode="External" Id="rId3"/><Relationship Type="http://schemas.openxmlformats.org/officeDocument/2006/relationships/hyperlink" Target="https://search.naver.com/search.naver?query=%ED%95%9C%ED%99%94%EC%86%90%EB%B3%B4%20%ED%95%9C%ED%99%94%20%EC%9A%B4%EC%A0%84%EC%9E%90%EC%83%81%ED%95%B4%EB%B3%B4%ED%97%98%20%EB%AC%B4%EB%B0%B0%EB%8B%B92504%20%EB%B3%B4%EB%B3%B5%EC%9A%B4%EC%A0%84%20%ED%94%BC%ED%95%B4%EB%B3%B4%EC%9E%A5%EF%BC%88%EC%9E%90%EA%B0%80%20%EC%95%BD%EA%B4%80%20%EB%B3%B4%EC%9E%A5%EB%82%B4%EC%9A%A9" TargetMode="External" Id="rId4"/><Relationship Type="http://schemas.openxmlformats.org/officeDocument/2006/relationships/hyperlink" Target="https://search.naver.com/search.naver?query=%EB%82%A9%EC%82%BC%EC%84%B1%ED%99%94%EC%9E%AC%20%EB%AC%B4%EB%B0%B0%EB%8B%B9%20%EC%82%BC%EC%84%B180%ED%8F%89%EC%83%9D%EB%B3%B4%ED%97%98%20III%20%EC%95%BD%EA%B0%92%20%EC%95%BD%EA%B4%80%20%EB%B3%B4%EC%9E%A5%EB%82%B4%EC%9A%A9" TargetMode="External" Id="rId5"/><Relationship Type="http://schemas.openxmlformats.org/officeDocument/2006/relationships/hyperlink" Target="https://search.naver.com/search.naver?query=KB%EC%86%90%EB%B3%B4%20KB%203.3.5%20%EC%8A%AC%EA%B8%B0%EB%A1%9C%EC%9A%B4%20%EA%B0%84%ED%8E%B8%EA%B1%B4%EA%B0%95%20%EF%BC%89%EF%BC%88%EC%9D%98%EB%AC%B4%EF%BC%89%20%EC%95%BD%EA%B4%80%20%EB%B3%B4%EC%9E%A5%EB%82%B4%EC%9A%A9" TargetMode="External" Id="rId6"/><Relationship Type="http://schemas.openxmlformats.org/officeDocument/2006/relationships/hyperlink" Target="https://search.naver.com/search.naver?query=KB%EC%86%90%EB%B3%B4%20KB%203.3.5%20%EC%8A%AC%EA%B8%B0%EB%A1%9C%EC%9A%B4%20%EA%B0%84%ED%8E%B8%EA%B1%B4%EA%B0%95%20%EA%B0%84%EB%B3%91%EC%9D%B8%EC%82%AC%EC%9A%A9%20%EC%A7%88%EB%B3%91%EC%9E%85%EC%9B%90%EC%9D%BC%EB%8B%B9%20%EC%95%BD%EA%B4%80%20%EB%B3%B4%EC%9E%A5%EB%82%B4%EC%9A%A9" TargetMode="External" Id="rId7"/><Relationship Type="http://schemas.openxmlformats.org/officeDocument/2006/relationships/hyperlink" Target="https://search.naver.com/search.naver?query=KB%EC%86%90%EB%B3%B4%20KB%203.3.5%20%EC%8A%AC%EA%B8%B0%EB%A1%9C%EC%9A%B4%20%EA%B0%84%ED%8E%B8%EA%B1%B4%EA%B0%95%20%EC%A0%9C%EC%99%B8%EF%BC%89%EF%BC%88335%20%EA%B0%84%ED%8E%B8%EA%B0%80%EC%9E%85%20%EC%95%BD%EA%B4%80%20%EB%B3%B4%EC%9E%A5%EB%82%B4%EC%9A%A9" TargetMode="External" Id="rId8"/><Relationship Type="http://schemas.openxmlformats.org/officeDocument/2006/relationships/hyperlink" Target="https://search.naver.com/search.naver?query=KB%EC%86%90%EB%B3%B4%20KB%203.3.5%20%EC%8A%AC%EA%B8%B0%EB%A1%9C%EC%9A%B4%20%EA%B0%84%ED%8E%B8%EA%B1%B4%EA%B0%95%20%EC%A7%88%EB%B3%91%EC%9E%85%EC%9B%90%EC%9D%BC%EB%8B%B9%20%EF%BC%881-18%20%EC%95%BD%EA%B4%80%20%EB%B3%B4%EC%9E%A5%EB%82%B4%EC%9A%A9" TargetMode="External" Id="rId9"/><Relationship Type="http://schemas.openxmlformats.org/officeDocument/2006/relationships/hyperlink" Target="https://search.naver.com/search.naver?query=KB%EC%86%90%EB%B3%B4%20KB%203.3.5%20%EC%8A%AC%EA%B8%B0%EB%A1%9C%EC%9A%B4%20%EA%B0%84%ED%8E%B8%EA%B1%B4%EA%B0%95%20%EC%A0%9C%EC%99%B8%EF%BC%89%EF%BC%88335%20%EA%B0%84%ED%8E%B8%EA%B0%80%EC%9E%85%20%EC%95%BD%EA%B4%80%20%EB%B3%B4%EC%9E%A5%EB%82%B4%EC%9A%A9" TargetMode="External" Id="rId10"/><Relationship Type="http://schemas.openxmlformats.org/officeDocument/2006/relationships/hyperlink" Target="https://search.naver.com/search.naver?query=KB%EC%86%90%EB%B3%B4%20KB%203.3.5%20%EC%8A%AC%EA%B8%B0%EB%A1%9C%EC%9A%B4%20%EA%B0%84%ED%8E%B8%EA%B1%B4%EA%B0%95%20%EC%83%81%ED%95%B4%EC%9E%85%EC%9B%90%EC%9D%BC%EB%8B%B9%20%EF%BC%881-18%20%EC%95%BD%EA%B4%80%20%EB%B3%B4%EC%9E%A5%EB%82%B4%EC%9A%A9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152" t="inlineStr">
        <is>
          <t>김규훈님 보장진단</t>
        </is>
      </c>
      <c r="B1" s="193" t="n"/>
      <c r="C1" s="154" t="inlineStr">
        <is>
          <t>AIA생명
（무） A I G 원스톱암 I I 2 형
[비갱신]</t>
        </is>
      </c>
      <c r="D1" s="155" t="inlineStr">
        <is>
          <t>한화손보
한화 운전자상해보험 무배당2504
[갱신]</t>
        </is>
      </c>
      <c r="E1" s="154" t="inlineStr">
        <is>
          <t>납삼성화재
무배당 삼성80평생보험 III
[비갱신]
(4세대 실손)</t>
        </is>
      </c>
      <c r="F1" s="155" t="inlineStr">
        <is>
          <t>KB손보
KB 3.3.5 슬기로운 간편건강보험Plus（무배당）（23.07）
[갱신]</t>
        </is>
      </c>
      <c r="G1" s="156" t="inlineStr">
        <is>
          <t>합계</t>
        </is>
      </c>
    </row>
    <row r="2" ht="16.5" customHeight="1" s="82">
      <c r="A2" s="157" t="inlineStr">
        <is>
          <t>보험료</t>
        </is>
      </c>
      <c r="B2" s="194" t="n"/>
      <c r="C2" s="159" t="n">
        <v>31240</v>
      </c>
      <c r="D2" s="160" t="n">
        <v>25608</v>
      </c>
      <c r="E2" s="161" t="n"/>
      <c r="F2" s="160" t="n">
        <v>57703</v>
      </c>
      <c r="G2" s="162">
        <f>SUM(C2:F2)</f>
        <v/>
      </c>
    </row>
    <row r="3" ht="16.5" customHeight="1" s="82">
      <c r="A3" s="163" t="inlineStr">
        <is>
          <t>가입년일</t>
        </is>
      </c>
      <c r="B3" s="194" t="n"/>
      <c r="C3" s="161" t="inlineStr">
        <is>
          <t>2006.02.14</t>
        </is>
      </c>
      <c r="D3" s="164" t="inlineStr">
        <is>
          <t>2025.12.02</t>
        </is>
      </c>
      <c r="E3" s="161" t="inlineStr">
        <is>
          <t>2022.09.17</t>
        </is>
      </c>
      <c r="F3" s="164" t="inlineStr">
        <is>
          <t>2023.07.25</t>
        </is>
      </c>
      <c r="G3" s="165" t="n"/>
    </row>
    <row r="4" ht="16.5" customHeight="1" s="82">
      <c r="A4" s="163" t="inlineStr">
        <is>
          <t>만기일자</t>
        </is>
      </c>
      <c r="B4" s="194" t="n"/>
      <c r="C4" s="161" t="inlineStr">
        <is>
          <t>2042.02.14</t>
        </is>
      </c>
      <c r="D4" s="164" t="inlineStr">
        <is>
          <t>2045.12.02</t>
        </is>
      </c>
      <c r="E4" s="161" t="inlineStr">
        <is>
          <t>2022.09.18</t>
        </is>
      </c>
      <c r="F4" s="164" t="inlineStr">
        <is>
          <t>2071.07.25</t>
        </is>
      </c>
      <c r="G4" s="165" t="n"/>
    </row>
    <row r="5" ht="17.25" customHeight="1" s="82">
      <c r="A5" s="163" t="inlineStr">
        <is>
          <t>총납입기간</t>
        </is>
      </c>
      <c r="B5" s="194" t="n"/>
      <c r="C5" s="161" t="inlineStr">
        <is>
          <t>20년납 (240/240)</t>
        </is>
      </c>
      <c r="D5" s="164" t="inlineStr">
        <is>
          <t>20년납 (8/240)</t>
        </is>
      </c>
      <c r="E5" s="161" t="inlineStr">
        <is>
          <t>25년납 ()</t>
        </is>
      </c>
      <c r="F5" s="164" t="inlineStr">
        <is>
          <t>20년납 (36/240)</t>
        </is>
      </c>
      <c r="G5" s="166" t="n"/>
    </row>
    <row r="6" ht="16.5" customHeight="1" s="82">
      <c r="A6" s="167" t="inlineStr">
        <is>
          <t>사망</t>
        </is>
      </c>
      <c r="B6" s="168" t="inlineStr">
        <is>
          <t>일반사망</t>
        </is>
      </c>
      <c r="C6" s="169" t="n"/>
      <c r="D6" s="169" t="n"/>
      <c r="E6" s="169" t="n"/>
      <c r="F6" s="169" t="n"/>
      <c r="G6" s="170">
        <f>SUM(C6:F6)</f>
        <v/>
      </c>
    </row>
    <row r="7" ht="17.25" customHeight="1" s="82">
      <c r="A7" s="195" t="n"/>
      <c r="B7" s="172" t="inlineStr">
        <is>
          <t>중대한CI적용</t>
        </is>
      </c>
      <c r="C7" s="173" t="n"/>
      <c r="D7" s="173" t="n"/>
      <c r="E7" s="173" t="n"/>
      <c r="F7" s="173" t="n"/>
      <c r="G7" s="174">
        <f>SUM(C7:F7)</f>
        <v/>
      </c>
    </row>
    <row r="8" ht="17.25" customHeight="1" s="82">
      <c r="A8" s="195" t="n"/>
      <c r="B8" s="175" t="inlineStr">
        <is>
          <t>질병사망(80세)</t>
        </is>
      </c>
      <c r="C8" s="173" t="n"/>
      <c r="D8" s="173" t="n"/>
      <c r="E8" s="173" t="n"/>
      <c r="F8" s="173" t="n"/>
      <c r="G8" s="174">
        <f>SUM(C8:F8)</f>
        <v/>
      </c>
    </row>
    <row r="9" ht="16.5" customHeight="1" s="82">
      <c r="A9" s="195" t="n"/>
      <c r="B9" s="175" t="inlineStr">
        <is>
          <t>교통상해사망</t>
        </is>
      </c>
      <c r="C9" s="173" t="n"/>
      <c r="D9" s="173" t="n"/>
      <c r="E9" s="173" t="n"/>
      <c r="F9" s="173" t="n"/>
      <c r="G9" s="174">
        <f>SUM(C9:F9)</f>
        <v/>
      </c>
    </row>
    <row r="10" ht="17.25" customHeight="1" s="82">
      <c r="A10" s="196" t="n"/>
      <c r="B10" s="177" t="inlineStr">
        <is>
          <t>상해사망</t>
        </is>
      </c>
      <c r="C10" s="178" t="n"/>
      <c r="D10" s="160" t="n">
        <v>4000</v>
      </c>
      <c r="E10" s="178" t="n"/>
      <c r="F10" s="160" t="n">
        <v>100</v>
      </c>
      <c r="G10" s="162">
        <f>SUM(C10:F10)</f>
        <v/>
      </c>
    </row>
    <row r="11" ht="16.5" customHeight="1" s="82">
      <c r="A11" s="179" t="inlineStr">
        <is>
          <t>후유장애</t>
        </is>
      </c>
      <c r="B11" s="175" t="inlineStr">
        <is>
          <t>상해후유3%</t>
        </is>
      </c>
      <c r="C11" s="173" t="n"/>
      <c r="D11" s="180" t="n">
        <v>1000</v>
      </c>
      <c r="E11" s="173" t="n"/>
      <c r="F11" s="173" t="n"/>
      <c r="G11" s="174">
        <f>SUM(C11:F11)</f>
        <v/>
      </c>
    </row>
    <row r="12" ht="16.5" customHeight="1" s="82">
      <c r="A12" s="195" t="n"/>
      <c r="B12" s="175" t="inlineStr">
        <is>
          <t>상해후유80%</t>
        </is>
      </c>
      <c r="C12" s="173" t="n"/>
      <c r="D12" s="173" t="n"/>
      <c r="E12" s="173" t="n"/>
      <c r="F12" s="173" t="n"/>
      <c r="G12" s="174">
        <f>SUM(C12:F12)</f>
        <v/>
      </c>
    </row>
    <row r="13" ht="16.5" customHeight="1" s="82">
      <c r="A13" s="195" t="n"/>
      <c r="B13" s="175" t="inlineStr">
        <is>
          <t>질병후유3%</t>
        </is>
      </c>
      <c r="C13" s="173" t="n"/>
      <c r="D13" s="173" t="n"/>
      <c r="E13" s="173" t="n"/>
      <c r="F13" s="173" t="n"/>
      <c r="G13" s="174">
        <f>SUM(C13:F13)</f>
        <v/>
      </c>
    </row>
    <row r="14" ht="17.25" customHeight="1" s="82">
      <c r="A14" s="196" t="n"/>
      <c r="B14" s="177" t="inlineStr">
        <is>
          <t>질병후유80%</t>
        </is>
      </c>
      <c r="C14" s="178" t="n"/>
      <c r="D14" s="178" t="n"/>
      <c r="E14" s="178" t="n"/>
      <c r="F14" s="178" t="n"/>
      <c r="G14" s="162">
        <f>SUM(C14:F14)</f>
        <v/>
      </c>
    </row>
    <row r="15" ht="17.25" customHeight="1" s="82">
      <c r="A15" s="179" t="inlineStr">
        <is>
          <t>암</t>
        </is>
      </c>
      <c r="B15" s="175" t="inlineStr">
        <is>
          <t>고액암</t>
        </is>
      </c>
      <c r="C15" s="181" t="n">
        <v>4000</v>
      </c>
      <c r="D15" s="173" t="n"/>
      <c r="E15" s="173" t="n"/>
      <c r="F15" s="173" t="n"/>
      <c r="G15" s="174">
        <f>SUM(C15:F15)</f>
        <v/>
      </c>
    </row>
    <row r="16" ht="16.5" customHeight="1" s="82">
      <c r="A16" s="195" t="n"/>
      <c r="B16" s="172" t="inlineStr">
        <is>
          <t>일반암</t>
        </is>
      </c>
      <c r="C16" s="181" t="n">
        <v>2000</v>
      </c>
      <c r="D16" s="173" t="n"/>
      <c r="E16" s="173" t="n"/>
      <c r="F16" s="180" t="n">
        <v>100</v>
      </c>
      <c r="G16" s="174">
        <f>SUM(C16:F16)</f>
        <v/>
      </c>
    </row>
    <row r="17" ht="17.25" customHeight="1" s="82">
      <c r="A17" s="195" t="n"/>
      <c r="B17" s="172" t="inlineStr">
        <is>
          <t>중대한 암</t>
        </is>
      </c>
      <c r="C17" s="173" t="n"/>
      <c r="D17" s="173" t="n"/>
      <c r="E17" s="173" t="n"/>
      <c r="F17" s="173" t="n"/>
      <c r="G17" s="174">
        <f>SUM(C17:F17)</f>
        <v/>
      </c>
    </row>
    <row r="18" ht="16.5" customHeight="1" s="82">
      <c r="A18" s="195" t="n"/>
      <c r="B18" s="175" t="inlineStr">
        <is>
          <t>유사암(갑.기.경.제)</t>
        </is>
      </c>
      <c r="C18" s="181" t="n">
        <v>400</v>
      </c>
      <c r="D18" s="173" t="n"/>
      <c r="E18" s="173" t="n"/>
      <c r="F18" s="180" t="n">
        <v>10</v>
      </c>
      <c r="G18" s="174">
        <f>SUM(C18:F18)</f>
        <v/>
      </c>
    </row>
    <row r="19" ht="16.5" customHeight="1" s="82">
      <c r="A19" s="195" t="n"/>
      <c r="B19" s="175" t="inlineStr">
        <is>
          <t>통합전이암</t>
        </is>
      </c>
      <c r="C19" s="173" t="n"/>
      <c r="D19" s="173" t="n"/>
      <c r="E19" s="173" t="n"/>
      <c r="F19" s="173" t="n"/>
      <c r="G19" s="174">
        <f>SUM(C19:F19)</f>
        <v/>
      </c>
    </row>
    <row r="20" ht="16.5" customHeight="1" s="82">
      <c r="A20" s="195" t="n"/>
      <c r="B20" s="175" t="inlineStr">
        <is>
          <t>암주요치료비</t>
        </is>
      </c>
      <c r="C20" s="182" t="n"/>
      <c r="D20" s="182" t="n"/>
      <c r="E20" s="182" t="n"/>
      <c r="F20" s="182" t="n"/>
      <c r="G20" s="174">
        <f>SUM(C20:F20)</f>
        <v/>
      </c>
    </row>
    <row r="21" ht="16.5" customHeight="1" s="82">
      <c r="A21" s="195" t="n"/>
      <c r="B21" s="175" t="inlineStr">
        <is>
          <t>하이클래스(암)</t>
        </is>
      </c>
      <c r="C21" s="173" t="n"/>
      <c r="D21" s="173" t="n"/>
      <c r="E21" s="173" t="n"/>
      <c r="F21" s="173" t="n"/>
      <c r="G21" s="174">
        <f>SUM(C21:F21)</f>
        <v/>
      </c>
    </row>
    <row r="22" ht="16.5" customHeight="1" s="82">
      <c r="A22" s="195" t="n"/>
      <c r="B22" s="175" t="inlineStr">
        <is>
          <t>중입자치료비</t>
        </is>
      </c>
      <c r="C22" s="182" t="n"/>
      <c r="D22" s="182" t="n"/>
      <c r="E22" s="182" t="n"/>
      <c r="F22" s="182" t="n"/>
      <c r="G22" s="174">
        <f>IF(COUNT(C22:F22)=0,0,MAX(C22:F22))</f>
        <v/>
      </c>
    </row>
    <row r="23" ht="16.5" customHeight="1" s="82">
      <c r="A23" s="195" t="n"/>
      <c r="B23" s="175" t="inlineStr">
        <is>
          <t>표적항암치료비</t>
        </is>
      </c>
      <c r="C23" s="182" t="n"/>
      <c r="D23" s="182" t="n"/>
      <c r="E23" s="182" t="n"/>
      <c r="F23" s="182" t="n"/>
      <c r="G23" s="174">
        <f>SUM(C23:F23)</f>
        <v/>
      </c>
    </row>
    <row r="24" ht="16.5" customHeight="1" s="82">
      <c r="A24" s="195" t="n"/>
      <c r="B24" s="175" t="inlineStr">
        <is>
          <t>양성자치료</t>
        </is>
      </c>
      <c r="C24" s="182" t="n"/>
      <c r="D24" s="182" t="n"/>
      <c r="E24" s="182" t="n"/>
      <c r="F24" s="182" t="n"/>
      <c r="G24" s="174">
        <f>SUM(C24:F24)</f>
        <v/>
      </c>
    </row>
    <row r="25" ht="16.5" customHeight="1" s="82">
      <c r="A25" s="195" t="n"/>
      <c r="B25" s="175" t="inlineStr">
        <is>
          <t>세기조절치료</t>
        </is>
      </c>
      <c r="C25" s="182" t="n"/>
      <c r="D25" s="182" t="n"/>
      <c r="E25" s="182" t="n"/>
      <c r="F25" s="182" t="n"/>
      <c r="G25" s="174">
        <f>SUM(C25:F25)</f>
        <v/>
      </c>
    </row>
    <row r="26" ht="16.5" customHeight="1" s="82">
      <c r="A26" s="195" t="n"/>
      <c r="B26" s="175" t="inlineStr">
        <is>
          <t>다빈치로봇수술비</t>
        </is>
      </c>
      <c r="C26" s="182" t="n"/>
      <c r="D26" s="182" t="n"/>
      <c r="E26" s="182" t="n"/>
      <c r="F26" s="182" t="n"/>
      <c r="G26" s="174">
        <f>SUM(C26:F26)</f>
        <v/>
      </c>
    </row>
    <row r="27" ht="16.5" customHeight="1" s="82">
      <c r="A27" s="195" t="n"/>
      <c r="B27" s="175" t="inlineStr">
        <is>
          <t>암수술</t>
        </is>
      </c>
      <c r="C27" s="173" t="n"/>
      <c r="D27" s="173" t="n"/>
      <c r="E27" s="173" t="n"/>
      <c r="F27" s="173" t="n"/>
      <c r="G27" s="174">
        <f>SUM(C27:F27)</f>
        <v/>
      </c>
    </row>
    <row r="28" ht="17.25" customHeight="1" s="82">
      <c r="A28" s="195" t="n"/>
      <c r="B28" s="175" t="inlineStr">
        <is>
          <t>암일당</t>
        </is>
      </c>
      <c r="C28" s="173" t="n"/>
      <c r="D28" s="173" t="n"/>
      <c r="E28" s="173" t="n"/>
      <c r="F28" s="173" t="n"/>
      <c r="G28" s="174">
        <f>SUM(C28:F28)</f>
        <v/>
      </c>
    </row>
    <row r="29" ht="17.25" customHeight="1" s="82">
      <c r="A29" s="196" t="n"/>
      <c r="B29" s="177" t="inlineStr">
        <is>
          <t>항암방사선약물</t>
        </is>
      </c>
      <c r="C29" s="178" t="n"/>
      <c r="D29" s="178" t="n"/>
      <c r="E29" s="178" t="n"/>
      <c r="F29" s="178" t="n"/>
      <c r="G29" s="162">
        <f>SUM(C29:F29)</f>
        <v/>
      </c>
    </row>
    <row r="30" ht="16.5" customHeight="1" s="82">
      <c r="A30" s="179" t="inlineStr">
        <is>
          <t>뇌혈관</t>
        </is>
      </c>
      <c r="B30" s="175" t="inlineStr">
        <is>
          <t>뇌혈관진단비</t>
        </is>
      </c>
      <c r="C30" s="173" t="n"/>
      <c r="D30" s="173" t="n"/>
      <c r="E30" s="173" t="n"/>
      <c r="F30" s="173" t="n"/>
      <c r="G30" s="174">
        <f>SUM(C30:F30)</f>
        <v/>
      </c>
    </row>
    <row r="31" ht="17.25" customHeight="1" s="82">
      <c r="A31" s="195" t="n"/>
      <c r="B31" s="172" t="inlineStr">
        <is>
          <t>뇌졸증진단비</t>
        </is>
      </c>
      <c r="C31" s="173" t="n"/>
      <c r="D31" s="173" t="n"/>
      <c r="E31" s="173" t="n"/>
      <c r="F31" s="173" t="n"/>
      <c r="G31" s="174">
        <f>SUM(C31:F31)</f>
        <v/>
      </c>
    </row>
    <row r="32" ht="16.5" customHeight="1" s="82">
      <c r="A32" s="195" t="n"/>
      <c r="B32" s="172" t="inlineStr">
        <is>
          <t>중대한 뇌졸증</t>
        </is>
      </c>
      <c r="C32" s="173" t="n"/>
      <c r="D32" s="173" t="n"/>
      <c r="E32" s="173" t="n"/>
      <c r="F32" s="173" t="n"/>
      <c r="G32" s="174">
        <f>SUM(C32:F32)</f>
        <v/>
      </c>
    </row>
    <row r="33" ht="16.5" customHeight="1" s="82">
      <c r="A33" s="195" t="n"/>
      <c r="B33" s="175" t="inlineStr">
        <is>
          <t>뇌출혈진단비</t>
        </is>
      </c>
      <c r="C33" s="173" t="n"/>
      <c r="D33" s="173" t="n"/>
      <c r="E33" s="173" t="n"/>
      <c r="F33" s="173" t="n"/>
      <c r="G33" s="174">
        <f>SUM(C33:F33)</f>
        <v/>
      </c>
    </row>
    <row r="34" ht="16.5" customHeight="1" s="82">
      <c r="A34" s="195" t="n"/>
      <c r="B34" s="175" t="inlineStr">
        <is>
          <t>외상성뇌출혈</t>
        </is>
      </c>
      <c r="C34" s="173" t="n"/>
      <c r="D34" s="173" t="n"/>
      <c r="E34" s="173" t="n"/>
      <c r="F34" s="173" t="n"/>
      <c r="G34" s="174">
        <f>SUM(C34:F34)</f>
        <v/>
      </c>
    </row>
    <row r="35" ht="16.5" customHeight="1" s="82">
      <c r="A35" s="195" t="n"/>
      <c r="B35" s="175" t="inlineStr">
        <is>
          <t>산정특례뇌혈관</t>
        </is>
      </c>
      <c r="C35" s="173" t="n"/>
      <c r="D35" s="173" t="n"/>
      <c r="E35" s="173" t="n"/>
      <c r="F35" s="173" t="n"/>
      <c r="G35" s="174">
        <f>SUM(C35:F35)</f>
        <v/>
      </c>
    </row>
    <row r="36" ht="16.5" customHeight="1" s="82">
      <c r="A36" s="195" t="n"/>
      <c r="B36" s="175" t="inlineStr">
        <is>
          <t>2대 주요치료비</t>
        </is>
      </c>
      <c r="C36" s="173" t="n"/>
      <c r="D36" s="173" t="n"/>
      <c r="E36" s="173" t="n"/>
      <c r="F36" s="173" t="n"/>
      <c r="G36" s="174">
        <f>SUM(C36:F36)</f>
        <v/>
      </c>
    </row>
    <row r="37" ht="16.5" customHeight="1" s="82">
      <c r="A37" s="196" t="n"/>
      <c r="B37" s="177" t="inlineStr">
        <is>
          <t>혈전용해치료비</t>
        </is>
      </c>
      <c r="C37" s="178" t="n"/>
      <c r="D37" s="178" t="n"/>
      <c r="E37" s="178" t="n"/>
      <c r="F37" s="178" t="n"/>
      <c r="G37" s="162">
        <f>SUM(C37:F37)</f>
        <v/>
      </c>
    </row>
    <row r="38" ht="16.5" customHeight="1" s="82">
      <c r="A38" s="179" t="inlineStr">
        <is>
          <t>심장</t>
        </is>
      </c>
      <c r="B38" s="175" t="inlineStr">
        <is>
          <t>협심증</t>
        </is>
      </c>
      <c r="C38" s="173" t="n"/>
      <c r="D38" s="173" t="n"/>
      <c r="E38" s="173" t="n"/>
      <c r="F38" s="173" t="n"/>
      <c r="G38" s="174">
        <f>SUM(C38:F38)</f>
        <v/>
      </c>
    </row>
    <row r="39" ht="16.5" customHeight="1" s="82">
      <c r="A39" s="195" t="n"/>
      <c r="B39" s="175" t="inlineStr">
        <is>
          <t>심부전</t>
        </is>
      </c>
      <c r="C39" s="173" t="n"/>
      <c r="D39" s="173" t="n"/>
      <c r="E39" s="173" t="n"/>
      <c r="F39" s="173" t="n"/>
      <c r="G39" s="174">
        <f>SUM(C39:F39)</f>
        <v/>
      </c>
    </row>
    <row r="40" ht="16.5" customHeight="1" s="82">
      <c r="A40" s="195" t="n"/>
      <c r="B40" s="175" t="inlineStr">
        <is>
          <t>빈맥</t>
        </is>
      </c>
      <c r="C40" s="173" t="n"/>
      <c r="D40" s="173" t="n"/>
      <c r="E40" s="173" t="n"/>
      <c r="F40" s="173" t="n"/>
      <c r="G40" s="174">
        <f>SUM(C40:F40)</f>
        <v/>
      </c>
    </row>
    <row r="41" ht="17.25" customHeight="1" s="82">
      <c r="A41" s="195" t="n"/>
      <c r="B41" s="175" t="inlineStr">
        <is>
          <t>염증</t>
        </is>
      </c>
      <c r="C41" s="173" t="n"/>
      <c r="D41" s="173" t="n"/>
      <c r="E41" s="173" t="n"/>
      <c r="F41" s="173" t="n"/>
      <c r="G41" s="174">
        <f>SUM(C41:F41)</f>
        <v/>
      </c>
    </row>
    <row r="42" ht="16.5" customHeight="1" s="82">
      <c r="A42" s="195" t="n"/>
      <c r="B42" s="175" t="inlineStr">
        <is>
          <t>부정맥</t>
        </is>
      </c>
      <c r="C42" s="173" t="n"/>
      <c r="D42" s="173" t="n"/>
      <c r="E42" s="173" t="n"/>
      <c r="F42" s="173" t="n"/>
      <c r="G42" s="174">
        <f>SUM(C42:F42)</f>
        <v/>
      </c>
    </row>
    <row r="43" ht="16.5" customHeight="1" s="82">
      <c r="A43" s="195" t="n"/>
      <c r="B43" s="175" t="inlineStr">
        <is>
          <t>심근병증</t>
        </is>
      </c>
      <c r="C43" s="183" t="n"/>
      <c r="D43" s="183" t="n"/>
      <c r="E43" s="183" t="n"/>
      <c r="F43" s="183" t="n"/>
      <c r="G43" s="184">
        <f>SUM(C43:F43)</f>
        <v/>
      </c>
    </row>
    <row r="44" ht="17.25" customHeight="1" s="82">
      <c r="A44" s="195" t="n"/>
      <c r="B44" s="175" t="inlineStr">
        <is>
          <t>심장판막</t>
        </is>
      </c>
      <c r="C44" s="183" t="n"/>
      <c r="D44" s="183" t="n"/>
      <c r="E44" s="183" t="n"/>
      <c r="F44" s="183" t="n"/>
      <c r="G44" s="184">
        <f>SUM(C44:F44)</f>
        <v/>
      </c>
    </row>
    <row r="45" ht="17.25" customHeight="1" s="82">
      <c r="A45" s="195" t="n"/>
      <c r="B45" s="175" t="inlineStr">
        <is>
          <t>산정특례심장</t>
        </is>
      </c>
      <c r="C45" s="173" t="n"/>
      <c r="D45" s="173" t="n"/>
      <c r="E45" s="173" t="n"/>
      <c r="F45" s="173" t="n"/>
      <c r="G45" s="174">
        <f>SUM(C45:F45)</f>
        <v/>
      </c>
    </row>
    <row r="46" ht="16.5" customHeight="1" s="82">
      <c r="A46" s="195" t="n"/>
      <c r="B46" s="185" t="inlineStr">
        <is>
          <t>2대 주요치료비</t>
        </is>
      </c>
      <c r="C46" s="173" t="n"/>
      <c r="D46" s="173" t="n"/>
      <c r="E46" s="173" t="n"/>
      <c r="F46" s="173" t="n"/>
      <c r="G46" s="174">
        <f>SUM(C46:F46)</f>
        <v/>
      </c>
    </row>
    <row r="47" ht="16.5" customHeight="1" s="82">
      <c r="A47" s="195" t="n"/>
      <c r="B47" s="185" t="inlineStr">
        <is>
          <t>허혈성 진단비</t>
        </is>
      </c>
      <c r="C47" s="173" t="n"/>
      <c r="D47" s="173" t="n"/>
      <c r="E47" s="173" t="n"/>
      <c r="F47" s="173" t="n"/>
      <c r="G47" s="174">
        <f>SUM(C47:F47)</f>
        <v/>
      </c>
    </row>
    <row r="48" ht="16.5" customHeight="1" s="82">
      <c r="A48" s="195" t="n"/>
      <c r="B48" s="172" t="inlineStr">
        <is>
          <t>급성심근경색</t>
        </is>
      </c>
      <c r="C48" s="173" t="n"/>
      <c r="D48" s="173" t="n"/>
      <c r="E48" s="173" t="n"/>
      <c r="F48" s="173" t="n"/>
      <c r="G48" s="174">
        <f>SUM(C48:F48)</f>
        <v/>
      </c>
    </row>
    <row r="49" ht="16.5" customHeight="1" s="82">
      <c r="A49" s="196" t="n"/>
      <c r="B49" s="186" t="inlineStr">
        <is>
          <t>중대한 급성심근</t>
        </is>
      </c>
      <c r="C49" s="178" t="n"/>
      <c r="D49" s="178" t="n"/>
      <c r="E49" s="178" t="n"/>
      <c r="F49" s="178" t="n"/>
      <c r="G49" s="162">
        <f>SUM(C49:F49)</f>
        <v/>
      </c>
    </row>
    <row r="50" ht="16.5" customHeight="1" s="82">
      <c r="A50" s="179" t="inlineStr">
        <is>
          <t>일당</t>
        </is>
      </c>
      <c r="B50" s="175" t="inlineStr">
        <is>
          <t>혈전용해치료비</t>
        </is>
      </c>
      <c r="C50" s="173" t="n"/>
      <c r="D50" s="173" t="n"/>
      <c r="E50" s="173" t="n"/>
      <c r="F50" s="173" t="n"/>
      <c r="G50" s="174">
        <f>SUM(C50:F50)</f>
        <v/>
      </c>
    </row>
    <row r="51" ht="16.5" customHeight="1" s="82">
      <c r="A51" s="195" t="n"/>
      <c r="B51" s="175" t="inlineStr">
        <is>
          <t>질병일당</t>
        </is>
      </c>
      <c r="C51" s="173" t="n"/>
      <c r="D51" s="173" t="n"/>
      <c r="E51" s="173" t="n"/>
      <c r="F51" s="173" t="n"/>
      <c r="G51" s="174">
        <f>SUM(C51:F51)</f>
        <v/>
      </c>
    </row>
    <row r="52" ht="16.5" customHeight="1" s="82">
      <c r="A52" s="195" t="n"/>
      <c r="B52" s="175" t="inlineStr">
        <is>
          <t>질병수술일당</t>
        </is>
      </c>
      <c r="C52" s="173" t="n"/>
      <c r="D52" s="173" t="n"/>
      <c r="E52" s="173" t="n"/>
      <c r="F52" s="173" t="n"/>
      <c r="G52" s="174">
        <f>SUM(C52:F52)</f>
        <v/>
      </c>
    </row>
    <row r="53" ht="16.5" customHeight="1" s="82">
      <c r="A53" s="195" t="n"/>
      <c r="B53" s="175" t="inlineStr">
        <is>
          <t>질병종합병원일당</t>
        </is>
      </c>
      <c r="C53" s="173" t="n"/>
      <c r="D53" s="173" t="n"/>
      <c r="E53" s="173" t="n"/>
      <c r="F53" s="173" t="n"/>
      <c r="G53" s="174">
        <f>SUM(C53:F53)</f>
        <v/>
      </c>
    </row>
    <row r="54" ht="16.5" customHeight="1" s="82">
      <c r="A54" s="195" t="n"/>
      <c r="B54" s="175" t="inlineStr">
        <is>
          <t>상해일당</t>
        </is>
      </c>
      <c r="C54" s="173" t="n"/>
      <c r="D54" s="173" t="n"/>
      <c r="E54" s="173" t="n"/>
      <c r="F54" s="173" t="n"/>
      <c r="G54" s="174">
        <f>SUM(C54:F54)</f>
        <v/>
      </c>
    </row>
    <row r="55" ht="16.5" customHeight="1" s="82">
      <c r="A55" s="195" t="n"/>
      <c r="B55" s="175" t="inlineStr">
        <is>
          <t>상해수술일당</t>
        </is>
      </c>
      <c r="C55" s="173" t="n"/>
      <c r="D55" s="173" t="n"/>
      <c r="E55" s="173" t="n"/>
      <c r="F55" s="173" t="n"/>
      <c r="G55" s="174">
        <f>SUM(C55:F55)</f>
        <v/>
      </c>
    </row>
    <row r="56" ht="16.5" customHeight="1" s="82">
      <c r="A56" s="195" t="n"/>
      <c r="B56" s="175" t="inlineStr">
        <is>
          <t>간병인</t>
        </is>
      </c>
      <c r="C56" s="173" t="n"/>
      <c r="D56" s="173" t="n"/>
      <c r="E56" s="173" t="n"/>
      <c r="F56" s="173" t="n">
        <v>15</v>
      </c>
      <c r="G56" s="174">
        <f>IF(COUNT(C56:F56)=0,0,MAX(C56:F56))</f>
        <v/>
      </c>
    </row>
    <row r="57" ht="16.5" customHeight="1" s="82">
      <c r="A57" s="195" t="n"/>
      <c r="B57" s="175" t="inlineStr">
        <is>
          <t>간병인지원일당</t>
        </is>
      </c>
      <c r="C57" s="173" t="n"/>
      <c r="D57" s="173" t="n"/>
      <c r="E57" s="173" t="n"/>
      <c r="F57" s="173" t="n"/>
      <c r="G57" s="174">
        <f>SUM(C57:F57)</f>
        <v/>
      </c>
    </row>
    <row r="58" ht="16.5" customHeight="1" s="82">
      <c r="A58" s="195" t="n"/>
      <c r="B58" s="175" t="inlineStr">
        <is>
          <t>간호통합병동</t>
        </is>
      </c>
      <c r="C58" s="173" t="n"/>
      <c r="D58" s="173" t="n"/>
      <c r="E58" s="173" t="n"/>
      <c r="F58" s="180" t="n">
        <v>5</v>
      </c>
      <c r="G58" s="174">
        <f>IF(SUM(C58:F58)&gt;0,7,0)</f>
        <v/>
      </c>
    </row>
    <row r="59" ht="16.5" customHeight="1" s="82">
      <c r="A59" s="195" t="n"/>
      <c r="B59" s="185" t="inlineStr">
        <is>
          <t>1인실 종합병원</t>
        </is>
      </c>
      <c r="C59" s="173" t="n"/>
      <c r="D59" s="173" t="n"/>
      <c r="E59" s="173" t="n"/>
      <c r="F59" s="173" t="n"/>
      <c r="G59" s="174">
        <f>SUM(C59:F59)</f>
        <v/>
      </c>
    </row>
    <row r="60" ht="16.5" customHeight="1" s="82">
      <c r="A60" s="195" t="n"/>
      <c r="B60" s="185" t="inlineStr">
        <is>
          <t>1인실 상급병원</t>
        </is>
      </c>
      <c r="C60" s="173" t="n"/>
      <c r="D60" s="173" t="n"/>
      <c r="E60" s="173" t="n"/>
      <c r="F60" s="173" t="n"/>
      <c r="G60" s="174">
        <f>SUM(C60:F60)</f>
        <v/>
      </c>
    </row>
    <row r="61" ht="16.5" customHeight="1" s="82">
      <c r="A61" s="195" t="n"/>
      <c r="B61" s="175" t="inlineStr">
        <is>
          <t>질병중환자실</t>
        </is>
      </c>
      <c r="C61" s="173" t="n"/>
      <c r="D61" s="173" t="n"/>
      <c r="E61" s="173" t="n"/>
      <c r="F61" s="173" t="n"/>
      <c r="G61" s="174">
        <f>SUM(C61:F61)</f>
        <v/>
      </c>
    </row>
    <row r="62" ht="17.25" customHeight="1" s="82">
      <c r="A62" s="196" t="n"/>
      <c r="B62" s="177" t="inlineStr">
        <is>
          <t>상해중환자실</t>
        </is>
      </c>
      <c r="C62" s="178" t="n"/>
      <c r="D62" s="160" t="n">
        <v>5</v>
      </c>
      <c r="E62" s="178" t="n"/>
      <c r="F62" s="178" t="n"/>
      <c r="G62" s="162">
        <f>SUM(C62:F62)</f>
        <v/>
      </c>
    </row>
    <row r="63" ht="17.25" customHeight="1" s="82">
      <c r="A63" s="179" t="inlineStr">
        <is>
          <t>수술</t>
        </is>
      </c>
      <c r="B63" s="175" t="inlineStr">
        <is>
          <t>상해수술비</t>
        </is>
      </c>
      <c r="C63" s="173" t="n"/>
      <c r="D63" s="180" t="n">
        <v>100</v>
      </c>
      <c r="E63" s="173" t="n"/>
      <c r="F63" s="173" t="n"/>
      <c r="G63" s="174">
        <f>SUM(C63:F63)</f>
        <v/>
      </c>
    </row>
    <row r="64" ht="16.5" customHeight="1" s="82">
      <c r="A64" s="195" t="n"/>
      <c r="B64" s="175" t="inlineStr">
        <is>
          <t>중대한상해수술비</t>
        </is>
      </c>
      <c r="C64" s="173" t="n"/>
      <c r="D64" s="173" t="n"/>
      <c r="E64" s="173" t="n"/>
      <c r="F64" s="173" t="n"/>
      <c r="G64" s="174">
        <f>SUM(C64:F64)</f>
        <v/>
      </c>
    </row>
    <row r="65" ht="16.5" customHeight="1" s="82">
      <c r="A65" s="195" t="n"/>
      <c r="B65" s="175" t="inlineStr">
        <is>
          <t>상해 종수술비(1-5종)</t>
        </is>
      </c>
      <c r="C65" s="173" t="n"/>
      <c r="D65" s="173" t="n"/>
      <c r="E65" s="173" t="n"/>
      <c r="F65" s="182" t="n"/>
      <c r="G65" s="174">
        <f>SUM(C65:F65)</f>
        <v/>
      </c>
    </row>
    <row r="66" ht="16.5" customHeight="1" s="82">
      <c r="A66" s="195" t="n"/>
      <c r="B66" s="175" t="inlineStr">
        <is>
          <t>상해 종수술비(1-8종)</t>
        </is>
      </c>
      <c r="C66" s="173" t="n"/>
      <c r="D66" s="173" t="n"/>
      <c r="E66" s="173" t="n"/>
      <c r="F66" s="182" t="n"/>
      <c r="G66" s="174">
        <f>SUM(C66:F66)</f>
        <v/>
      </c>
    </row>
    <row r="67" ht="16.5" customHeight="1" s="82">
      <c r="A67" s="195" t="n"/>
      <c r="B67" s="175" t="inlineStr">
        <is>
          <t>창상봉합술</t>
        </is>
      </c>
      <c r="C67" s="173" t="n"/>
      <c r="D67" s="173" t="n"/>
      <c r="E67" s="173" t="n"/>
      <c r="F67" s="173" t="n"/>
      <c r="G67" s="174">
        <f>SUM(C67:F67)</f>
        <v/>
      </c>
    </row>
    <row r="68" ht="17.25" customHeight="1" s="82">
      <c r="A68" s="195" t="n"/>
      <c r="B68" s="175" t="inlineStr">
        <is>
          <t>골절수술비</t>
        </is>
      </c>
      <c r="C68" s="173" t="n"/>
      <c r="D68" s="173" t="n"/>
      <c r="E68" s="173" t="n"/>
      <c r="F68" s="173" t="n"/>
      <c r="G68" s="174">
        <f>SUM(C68:F68)</f>
        <v/>
      </c>
    </row>
    <row r="69" ht="16.5" customHeight="1" s="82">
      <c r="A69" s="195" t="n"/>
      <c r="B69" s="185" t="inlineStr">
        <is>
          <t>5대골절수술비</t>
        </is>
      </c>
      <c r="C69" s="173" t="n"/>
      <c r="D69" s="173" t="n"/>
      <c r="E69" s="173" t="n"/>
      <c r="F69" s="173" t="n"/>
      <c r="G69" s="174">
        <f>SUM(C69:F69)</f>
        <v/>
      </c>
    </row>
    <row r="70" ht="16.5" customHeight="1" s="82">
      <c r="A70" s="195" t="n"/>
      <c r="B70" s="175" t="inlineStr">
        <is>
          <t>화상수술비</t>
        </is>
      </c>
      <c r="C70" s="173" t="n"/>
      <c r="D70" s="173" t="n"/>
      <c r="E70" s="173" t="n"/>
      <c r="F70" s="173" t="n"/>
      <c r="G70" s="174">
        <f>SUM(C70:F70)</f>
        <v/>
      </c>
    </row>
    <row r="71" ht="16.5" customHeight="1" s="82">
      <c r="A71" s="195" t="n"/>
      <c r="B71" s="188" t="inlineStr">
        <is>
          <t>질병수술비</t>
        </is>
      </c>
      <c r="C71" s="169" t="n"/>
      <c r="D71" s="169" t="n"/>
      <c r="E71" s="169" t="n"/>
      <c r="F71" s="169" t="n"/>
      <c r="G71" s="170">
        <f>SUM(C71:F71)</f>
        <v/>
      </c>
    </row>
    <row r="72" ht="16.5" customHeight="1" s="82">
      <c r="A72" s="195" t="n"/>
      <c r="B72" s="175" t="inlineStr">
        <is>
          <t>질병 종수술비(1-5종)</t>
        </is>
      </c>
      <c r="C72" s="173" t="n"/>
      <c r="D72" s="173" t="n"/>
      <c r="E72" s="173" t="n"/>
      <c r="F72" s="182" t="n"/>
      <c r="G72" s="174">
        <f>SUM(C72:F72)</f>
        <v/>
      </c>
    </row>
    <row r="73" ht="16.5" customHeight="1" s="82">
      <c r="A73" s="195" t="n"/>
      <c r="B73" s="175" t="inlineStr">
        <is>
          <t>질병 종수술비(1-8종)</t>
        </is>
      </c>
      <c r="C73" s="173" t="n"/>
      <c r="D73" s="173" t="n"/>
      <c r="E73" s="173" t="n"/>
      <c r="F73" s="182" t="n"/>
      <c r="G73" s="174">
        <f>SUM(C73:F73)</f>
        <v/>
      </c>
    </row>
    <row r="74" ht="16.5" customHeight="1" s="82">
      <c r="A74" s="195" t="n"/>
      <c r="B74" s="175" t="inlineStr">
        <is>
          <t>뇌혈관수술비</t>
        </is>
      </c>
      <c r="C74" s="173" t="n"/>
      <c r="D74" s="173" t="n"/>
      <c r="E74" s="173" t="n"/>
      <c r="F74" s="173" t="n"/>
      <c r="G74" s="174">
        <f>SUM(C74:F74)</f>
        <v/>
      </c>
    </row>
    <row r="75" ht="16.5" customHeight="1" s="82">
      <c r="A75" s="195" t="n"/>
      <c r="B75" s="175" t="inlineStr">
        <is>
          <t>허혈성수술비</t>
        </is>
      </c>
      <c r="C75" s="173" t="n"/>
      <c r="D75" s="173" t="n"/>
      <c r="E75" s="173" t="n"/>
      <c r="F75" s="173" t="n"/>
      <c r="G75" s="174">
        <f>SUM(C75:F75)</f>
        <v/>
      </c>
    </row>
    <row r="76" ht="17.25" customHeight="1" s="82">
      <c r="A76" s="195" t="n"/>
      <c r="B76" s="175" t="inlineStr">
        <is>
          <t>심장수술비</t>
        </is>
      </c>
      <c r="C76" s="173" t="n"/>
      <c r="D76" s="173" t="n"/>
      <c r="E76" s="173" t="n"/>
      <c r="F76" s="173" t="n"/>
      <c r="G76" s="174">
        <f>SUM(C76:F76)</f>
        <v/>
      </c>
    </row>
    <row r="77" ht="16.5" customHeight="1" s="82">
      <c r="A77" s="195" t="n"/>
      <c r="B77" s="185" t="inlineStr">
        <is>
          <t>120대수술비</t>
        </is>
      </c>
      <c r="C77" s="173" t="n"/>
      <c r="D77" s="173" t="n"/>
      <c r="E77" s="173" t="n"/>
      <c r="F77" s="173" t="n"/>
      <c r="G77" s="174">
        <f>SUM(C77:F77)</f>
        <v/>
      </c>
    </row>
    <row r="78" ht="16.5" customHeight="1" s="82">
      <c r="A78" s="195" t="n"/>
      <c r="B78" s="185" t="inlineStr">
        <is>
          <t>5대기관 수술비 관혈</t>
        </is>
      </c>
      <c r="C78" s="173" t="n"/>
      <c r="D78" s="173" t="n"/>
      <c r="E78" s="173" t="n"/>
      <c r="F78" s="173" t="n"/>
      <c r="G78" s="174">
        <f>SUM(C78:F78)</f>
        <v/>
      </c>
    </row>
    <row r="79" ht="17.25" customHeight="1" s="82">
      <c r="A79" s="196" t="n"/>
      <c r="B79" s="189" t="inlineStr">
        <is>
          <t>5대기관 수술비 비관혈</t>
        </is>
      </c>
      <c r="C79" s="178" t="n"/>
      <c r="D79" s="178" t="n"/>
      <c r="E79" s="178" t="n"/>
      <c r="F79" s="178" t="n"/>
      <c r="G79" s="162">
        <f>SUM(C79:F79)</f>
        <v/>
      </c>
    </row>
    <row r="80" ht="17.25" customHeight="1" s="82">
      <c r="A80" s="179" t="inlineStr">
        <is>
          <t>운전</t>
        </is>
      </c>
      <c r="B80" s="175" t="inlineStr">
        <is>
          <t>대인</t>
        </is>
      </c>
      <c r="C80" s="173" t="n"/>
      <c r="D80" s="180" t="n">
        <v>3000</v>
      </c>
      <c r="E80" s="173" t="n"/>
      <c r="F80" s="173" t="n"/>
      <c r="G80" s="174">
        <f>SUM(C80:F80)</f>
        <v/>
      </c>
    </row>
    <row r="81" ht="17.25" customHeight="1" s="82">
      <c r="A81" s="195" t="n"/>
      <c r="B81" s="175" t="inlineStr">
        <is>
          <t>대물</t>
        </is>
      </c>
      <c r="C81" s="173" t="n"/>
      <c r="D81" s="180" t="n">
        <v>500</v>
      </c>
      <c r="E81" s="173" t="n"/>
      <c r="F81" s="173" t="n"/>
      <c r="G81" s="174">
        <f>SUM(C81:F81)</f>
        <v/>
      </c>
    </row>
    <row r="82" ht="16.5" customHeight="1" s="82">
      <c r="A82" s="195" t="n"/>
      <c r="B82" s="175" t="inlineStr">
        <is>
          <t>합의금</t>
        </is>
      </c>
      <c r="C82" s="173" t="n"/>
      <c r="D82" s="180" t="n">
        <v>20000</v>
      </c>
      <c r="E82" s="173" t="n"/>
      <c r="F82" s="173" t="n"/>
      <c r="G82" s="174">
        <f>SUM(C82:F82)</f>
        <v/>
      </c>
    </row>
    <row r="83" ht="17.25" customHeight="1" s="82">
      <c r="A83" s="195" t="n"/>
      <c r="B83" s="185" t="inlineStr">
        <is>
          <t>6주미만</t>
        </is>
      </c>
      <c r="C83" s="173" t="n"/>
      <c r="D83" s="180" t="n">
        <v>1000</v>
      </c>
      <c r="E83" s="173" t="n"/>
      <c r="F83" s="173" t="n"/>
      <c r="G83" s="174">
        <f>SUM(C83:F83)</f>
        <v/>
      </c>
    </row>
    <row r="84" ht="16.5" customHeight="1" s="82">
      <c r="A84" s="195" t="n"/>
      <c r="B84" s="175" t="inlineStr">
        <is>
          <t>변호사</t>
        </is>
      </c>
      <c r="C84" s="173" t="n"/>
      <c r="D84" s="180" t="n">
        <v>5000</v>
      </c>
      <c r="E84" s="173" t="n"/>
      <c r="F84" s="173" t="n"/>
      <c r="G84" s="174">
        <f>SUM(C84:F84)</f>
        <v/>
      </c>
    </row>
    <row r="85" ht="17.25" customHeight="1" s="82">
      <c r="A85" s="196" t="n"/>
      <c r="B85" s="177" t="inlineStr">
        <is>
          <t>자부상</t>
        </is>
      </c>
      <c r="C85" s="178" t="n"/>
      <c r="D85" s="160" t="n">
        <v>30</v>
      </c>
      <c r="E85" s="178" t="n"/>
      <c r="F85" s="178" t="n"/>
      <c r="G85" s="162">
        <f>MIN(SUM(C85:F85),80)</f>
        <v/>
      </c>
    </row>
    <row r="86" ht="16.5" customHeight="1" s="82">
      <c r="A86" s="179" t="inlineStr">
        <is>
          <t>골절</t>
        </is>
      </c>
      <c r="B86" s="175" t="inlineStr">
        <is>
          <t>골절(치아파절포함)</t>
        </is>
      </c>
      <c r="C86" s="173" t="n"/>
      <c r="D86" s="180" t="n">
        <v>10</v>
      </c>
      <c r="E86" s="173" t="n"/>
      <c r="F86" s="173" t="n"/>
      <c r="G86" s="174">
        <f>SUM(C86:F86)</f>
        <v/>
      </c>
    </row>
    <row r="87" ht="16.5" customHeight="1" s="82">
      <c r="A87" s="195" t="n"/>
      <c r="B87" s="175" t="inlineStr">
        <is>
          <t>골절(치아파절제외)</t>
        </is>
      </c>
      <c r="C87" s="173" t="n"/>
      <c r="D87" s="180" t="n">
        <v>40</v>
      </c>
      <c r="E87" s="173" t="n"/>
      <c r="F87" s="173" t="n"/>
      <c r="G87" s="174">
        <f>SUM(C87:F87)</f>
        <v/>
      </c>
    </row>
    <row r="88" ht="17.25" customHeight="1" s="82">
      <c r="A88" s="196" t="n"/>
      <c r="B88" s="189" t="inlineStr">
        <is>
          <t>5대골절진단비</t>
        </is>
      </c>
      <c r="C88" s="178" t="n"/>
      <c r="D88" s="178" t="n"/>
      <c r="E88" s="178" t="n"/>
      <c r="F88" s="178" t="n"/>
      <c r="G88" s="162">
        <f>SUM(C88:F88)</f>
        <v/>
      </c>
    </row>
    <row r="89" ht="17.25" customHeight="1" s="82">
      <c r="A89" s="190" t="inlineStr">
        <is>
          <t>응급실</t>
        </is>
      </c>
      <c r="B89" s="177" t="inlineStr">
        <is>
          <t>응급실(응급)</t>
        </is>
      </c>
      <c r="C89" s="178" t="n"/>
      <c r="D89" s="160" t="n">
        <v>5</v>
      </c>
      <c r="E89" s="178" t="n"/>
      <c r="F89" s="178" t="n"/>
      <c r="G89" s="162">
        <f>SUM(C89:F89)</f>
        <v/>
      </c>
    </row>
    <row r="90">
      <c r="A90" s="190" t="inlineStr">
        <is>
          <t>독감</t>
        </is>
      </c>
      <c r="B90" s="177" t="inlineStr">
        <is>
          <t>독감</t>
        </is>
      </c>
      <c r="C90" s="178" t="n"/>
      <c r="D90" s="178" t="n"/>
      <c r="E90" s="178" t="n"/>
      <c r="F90" s="178" t="n"/>
      <c r="G90" s="162">
        <f>SUM(C90:F90)</f>
        <v/>
      </c>
    </row>
    <row r="91">
      <c r="A91" s="179" t="inlineStr">
        <is>
          <t>화상</t>
        </is>
      </c>
      <c r="B91" s="175" t="inlineStr">
        <is>
          <t>화상진단비</t>
        </is>
      </c>
      <c r="C91" s="173" t="n"/>
      <c r="D91" s="180" t="n">
        <v>25</v>
      </c>
      <c r="E91" s="173" t="n"/>
      <c r="F91" s="173" t="n"/>
      <c r="G91" s="174">
        <f>SUM(C91:F91)</f>
        <v/>
      </c>
    </row>
    <row r="92">
      <c r="A92" s="196" t="n"/>
      <c r="B92" s="177" t="inlineStr">
        <is>
          <t>중증화상진단비</t>
        </is>
      </c>
      <c r="C92" s="178" t="n"/>
      <c r="D92" s="178" t="n"/>
      <c r="E92" s="178" t="n"/>
      <c r="F92" s="178" t="n"/>
      <c r="G92" s="162">
        <f>SUM(C92:F92)</f>
        <v/>
      </c>
    </row>
    <row r="93">
      <c r="A93" s="179" t="inlineStr">
        <is>
          <t>깁스</t>
        </is>
      </c>
      <c r="B93" s="175" t="inlineStr">
        <is>
          <t>반깁스</t>
        </is>
      </c>
      <c r="C93" s="173" t="n"/>
      <c r="D93" s="173" t="n"/>
      <c r="E93" s="173" t="n"/>
      <c r="F93" s="173" t="n"/>
      <c r="G93" s="174">
        <f>SUM(C93:F93)</f>
        <v/>
      </c>
    </row>
    <row r="94">
      <c r="A94" s="196" t="n"/>
      <c r="B94" s="177" t="inlineStr">
        <is>
          <t>깁스진단비</t>
        </is>
      </c>
      <c r="C94" s="178" t="n"/>
      <c r="D94" s="160" t="n">
        <v>30</v>
      </c>
      <c r="E94" s="178" t="n"/>
      <c r="F94" s="178" t="n"/>
      <c r="G94" s="162">
        <f>SUM(C94:F94)</f>
        <v/>
      </c>
    </row>
    <row r="95" s="82">
      <c r="A95" s="179" t="inlineStr">
        <is>
          <t>실손</t>
        </is>
      </c>
      <c r="B95" s="175" t="inlineStr">
        <is>
          <t>입원</t>
        </is>
      </c>
      <c r="C95" s="182" t="n"/>
      <c r="D95" s="182" t="n"/>
      <c r="E95" s="180" t="n"/>
      <c r="F95" s="182" t="n"/>
      <c r="G95" s="174">
        <f>MIN(SUM(C95:F95),5000)</f>
        <v/>
      </c>
    </row>
    <row r="96" s="82">
      <c r="A96" s="195" t="n"/>
      <c r="B96" s="175" t="inlineStr">
        <is>
          <t>통원</t>
        </is>
      </c>
      <c r="C96" s="182" t="n"/>
      <c r="D96" s="182" t="n"/>
      <c r="E96" s="180" t="n"/>
      <c r="F96" s="182" t="n"/>
      <c r="G96" s="174">
        <f>SUM(C96:F96)</f>
        <v/>
      </c>
    </row>
    <row r="97">
      <c r="A97" s="195" t="n"/>
      <c r="B97" s="175" t="inlineStr">
        <is>
          <t>약값</t>
        </is>
      </c>
      <c r="C97" s="173" t="n"/>
      <c r="D97" s="173" t="n"/>
      <c r="E97" s="173" t="n"/>
      <c r="F97" s="173" t="n"/>
      <c r="G97" s="174">
        <f>SUM(C97:F97)</f>
        <v/>
      </c>
    </row>
    <row r="98">
      <c r="A98" s="196" t="n"/>
      <c r="B98" s="177" t="inlineStr">
        <is>
          <t>MRI/도수치료/비급여주사</t>
        </is>
      </c>
      <c r="C98" s="178" t="n"/>
      <c r="D98" s="178" t="n"/>
      <c r="E98" s="178" t="n"/>
      <c r="F98" s="178" t="n"/>
      <c r="G98" s="162">
        <f>SUM(C98:F98)</f>
        <v/>
      </c>
    </row>
    <row r="99">
      <c r="A99" s="190" t="inlineStr">
        <is>
          <t>일배책</t>
        </is>
      </c>
      <c r="B99" s="177" t="inlineStr">
        <is>
          <t>일상배상책임</t>
        </is>
      </c>
      <c r="C99" s="191" t="n"/>
      <c r="D99" s="191" t="n"/>
      <c r="E99" s="160" t="n">
        <v>10000</v>
      </c>
      <c r="F99" s="191" t="n"/>
      <c r="G99" s="162">
        <f>SUM(C99:F99)</f>
        <v/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s="0" t="inlineStr">
        <is>
          <t>김규훈님 · 자동분석 2026.07.08</t>
        </is>
      </c>
    </row>
    <row r="3">
      <c r="A3" s="0" t="inlineStr">
        <is>
          <t>계약수</t>
        </is>
      </c>
      <c r="B3" s="0" t="n">
        <v>4</v>
      </c>
    </row>
    <row r="4">
      <c r="A4" s="0" t="inlineStr">
        <is>
          <t>월보험료합계</t>
        </is>
      </c>
      <c r="B4" s="0" t="inlineStr">
        <is>
          <t>114,551원</t>
        </is>
      </c>
    </row>
    <row r="6">
      <c r="A6" s="0" t="inlineStr">
        <is>
          <t>[확인] 자동매핑 실패 담보 (마스터 미수록 또는 약관 확인 후 수기 기재)</t>
        </is>
      </c>
    </row>
    <row r="7">
      <c r="A7" s="0" t="inlineStr">
        <is>
          <t>회사</t>
        </is>
      </c>
      <c r="B7" s="0" t="inlineStr">
        <is>
          <t>담보명</t>
        </is>
      </c>
      <c r="C7" s="0" t="inlineStr">
        <is>
          <t>금액(만원)</t>
        </is>
      </c>
      <c r="D7" s="0" t="inlineStr">
        <is>
          <t>보장범위(참고)</t>
        </is>
      </c>
      <c r="E7" s="0" t="inlineStr">
        <is>
          <t>약관검색</t>
        </is>
      </c>
    </row>
    <row r="8">
      <c r="A8" s="0" t="inlineStr">
        <is>
          <t>한화손보</t>
        </is>
      </c>
      <c r="B8" s="0" t="inlineStr">
        <is>
          <t>보복운전피해보장 II （자가용운전자용）</t>
        </is>
      </c>
      <c r="C8" s="0" t="n">
        <v>50</v>
      </c>
      <c r="D8" s="0" t="inlineStr"/>
      <c r="E8" s="192" t="inlineStr">
        <is>
          <t>🔗약관검색</t>
        </is>
      </c>
    </row>
    <row r="9">
      <c r="A9" s="0" t="inlineStr">
        <is>
          <t>한화손보</t>
        </is>
      </c>
      <c r="B9" s="0" t="inlineStr">
        <is>
          <t>원격지사고시운반비용（실손,2아on 초과,자가용운전자용）</t>
        </is>
      </c>
      <c r="C9" s="0" t="n">
        <v>20</v>
      </c>
      <c r="D9" s="0" t="inlineStr"/>
      <c r="E9" s="192" t="inlineStr">
        <is>
          <t>🔗약관검색</t>
        </is>
      </c>
    </row>
    <row r="10">
      <c r="A10" s="0" t="inlineStr">
        <is>
          <t>한화손보</t>
        </is>
      </c>
      <c r="B10" s="0" t="inlineStr">
        <is>
          <t>특정상해성탈구진단비 （연간1 회한）</t>
        </is>
      </c>
      <c r="C10" s="0" t="n">
        <v>20</v>
      </c>
      <c r="D10" s="0" t="inlineStr"/>
      <c r="E10" s="192" t="inlineStr">
        <is>
          <t>🔗약관검색</t>
        </is>
      </c>
    </row>
    <row r="11">
      <c r="A11" s="0" t="inlineStr">
        <is>
          <t>한화손보</t>
        </is>
      </c>
      <c r="B11" s="0" t="inlineStr">
        <is>
          <t>보복운전 피해보장（자가용운전자용）</t>
        </is>
      </c>
      <c r="C11" s="0" t="n">
        <v>50</v>
      </c>
      <c r="D11" s="0" t="inlineStr"/>
      <c r="E11" s="192" t="inlineStr">
        <is>
          <t>🔗약관검색</t>
        </is>
      </c>
    </row>
    <row r="12">
      <c r="A12" s="0" t="inlineStr">
        <is>
          <t>납삼성화재</t>
        </is>
      </c>
      <c r="B12" s="0" t="inlineStr">
        <is>
          <t>약값</t>
        </is>
      </c>
      <c r="C12" s="0" t="n">
        <v>0</v>
      </c>
      <c r="D12" s="0" t="inlineStr"/>
      <c r="E12" s="192" t="inlineStr">
        <is>
          <t>🔗약관검색</t>
        </is>
      </c>
    </row>
    <row r="13">
      <c r="A13" s="0" t="inlineStr">
        <is>
          <t>KB손보</t>
        </is>
      </c>
      <c r="B13" s="0" t="inlineStr">
        <is>
          <t>）（의무）</t>
        </is>
      </c>
      <c r="C13" s="0" t="n">
        <v>10</v>
      </c>
      <c r="D13" s="0" t="inlineStr"/>
      <c r="E13" s="192" t="inlineStr">
        <is>
          <t>🔗약관검색</t>
        </is>
      </c>
    </row>
    <row r="14">
      <c r="A14" s="0" t="inlineStr">
        <is>
          <t>KB손보</t>
        </is>
      </c>
      <c r="B14" s="0" t="inlineStr">
        <is>
          <t>간병인사용 질병입원일당（1 일이상）（요양병원</t>
        </is>
      </c>
      <c r="C14" s="0" t="n">
        <v>15</v>
      </c>
      <c r="D14" s="0" t="inlineStr"/>
      <c r="E14" s="192" t="inlineStr">
        <is>
          <t>🔗약관검색</t>
        </is>
      </c>
    </row>
    <row r="15">
      <c r="A15" s="0" t="inlineStr">
        <is>
          <t>KB손보</t>
        </is>
      </c>
      <c r="B15" s="0" t="inlineStr">
        <is>
          <t>제외）（335 간편가입）（20 년갱신형）간■!병 （긴 시■■용</t>
        </is>
      </c>
      <c r="C15" s="0" t="n">
        <v>2</v>
      </c>
      <c r="D15" s="0" t="inlineStr"/>
      <c r="E15" s="192" t="inlineStr">
        <is>
          <t>🔗약관검색</t>
        </is>
      </c>
    </row>
    <row r="16">
      <c r="A16" s="0" t="inlineStr">
        <is>
          <t>KB손보</t>
        </is>
      </c>
      <c r="B16" s="0" t="inlineStr">
        <is>
          <t>질병입원일당 （1-180 일）（335간편가입）（20 년갱신형）간병인사용 상해입원일당（1 일이상）（요양병원</t>
        </is>
      </c>
      <c r="C16" s="0" t="n">
        <v>15</v>
      </c>
      <c r="D16" s="0" t="inlineStr"/>
      <c r="E16" s="192" t="inlineStr">
        <is>
          <t>🔗약관검색</t>
        </is>
      </c>
    </row>
    <row r="17">
      <c r="A17" s="0" t="inlineStr">
        <is>
          <t>KB손보</t>
        </is>
      </c>
      <c r="B17" s="0" t="inlineStr">
        <is>
          <t>제외）（335 간편가입）（20 년갱신형）</t>
        </is>
      </c>
      <c r="C17" s="0" t="n">
        <v>2</v>
      </c>
      <c r="D17" s="0" t="inlineStr"/>
      <c r="E17" s="192" t="inlineStr">
        <is>
          <t>🔗약관검색</t>
        </is>
      </c>
    </row>
    <row r="18">
      <c r="A18" s="0" t="inlineStr">
        <is>
          <t>KB손보</t>
        </is>
      </c>
      <c r="B18" s="0" t="inlineStr">
        <is>
          <t>상해입원일당 （1-180일）（335간편가입）（20 년갱신형）</t>
        </is>
      </c>
      <c r="C18" s="0" t="n">
        <v>0</v>
      </c>
      <c r="D18" s="0" t="inlineStr"/>
      <c r="E18" s="192" t="inlineStr">
        <is>
          <t>🔗약관검색</t>
        </is>
      </c>
    </row>
    <row r="22">
      <c r="A22" s="0" t="inlineStr">
        <is>
          <t>[근거] 실손 세대 판정 (가입일 vs 상품코드 — 상품코드 우선)</t>
        </is>
      </c>
    </row>
    <row r="23">
      <c r="A23" s="0" t="inlineStr">
        <is>
          <t>회사</t>
        </is>
      </c>
      <c r="B23" s="0" t="inlineStr">
        <is>
          <t>가입일</t>
        </is>
      </c>
      <c r="C23" s="0" t="inlineStr">
        <is>
          <t>상품코드(YYMM)</t>
        </is>
      </c>
      <c r="D23" s="0" t="inlineStr">
        <is>
          <t>판정</t>
        </is>
      </c>
    </row>
    <row r="24">
      <c r="A24" s="0" t="inlineStr">
        <is>
          <t>납삼성화재</t>
        </is>
      </c>
      <c r="B24" s="0" t="inlineStr">
        <is>
          <t>2022.09.17</t>
        </is>
      </c>
      <c r="C24" s="0" t="inlineStr">
        <is>
          <t>없음</t>
        </is>
      </c>
      <c r="D24" s="0" t="inlineStr">
        <is>
          <t>4세대</t>
        </is>
      </c>
    </row>
    <row r="26">
      <c r="A26" s="0" t="inlineStr">
        <is>
          <t>[근거] 수술 블록 기재 내역 (원 담보명 → 기재 행/슬롯) — 별첨 원문 그대로</t>
        </is>
      </c>
    </row>
    <row r="27">
      <c r="A27" s="0" t="inlineStr">
        <is>
          <t>회사</t>
        </is>
      </c>
      <c r="B27" s="0" t="inlineStr">
        <is>
          <t>별첨 원 담보명</t>
        </is>
      </c>
      <c r="C27" s="0" t="inlineStr">
        <is>
          <t>기재 행/슬롯</t>
        </is>
      </c>
      <c r="D27" s="0" t="inlineStr">
        <is>
          <t>금액(만원)</t>
        </is>
      </c>
    </row>
    <row r="28">
      <c r="A28" s="0" t="inlineStr">
        <is>
          <t>한화손보</t>
        </is>
      </c>
      <c r="B28" s="0" t="inlineStr">
        <is>
          <t>상해수술비</t>
        </is>
      </c>
      <c r="C28" s="0" t="inlineStr">
        <is>
          <t>상해수술비</t>
        </is>
      </c>
      <c r="D28" s="0" t="n">
        <v>100</v>
      </c>
    </row>
    <row r="30">
      <c r="A30" s="0" t="inlineStr">
        <is>
          <t>[근거] 암 블록 기재 내역 (원 담보명 → 기재 행) — 별첨 원문 그대로</t>
        </is>
      </c>
    </row>
    <row r="31">
      <c r="A31" s="0" t="inlineStr">
        <is>
          <t>회사</t>
        </is>
      </c>
      <c r="B31" s="0" t="inlineStr">
        <is>
          <t>별첨 원 담보명</t>
        </is>
      </c>
      <c r="C31" s="0" t="inlineStr">
        <is>
          <t>기재 행</t>
        </is>
      </c>
      <c r="D31" s="0" t="inlineStr">
        <is>
          <t>금액(만원)</t>
        </is>
      </c>
    </row>
    <row r="32">
      <c r="A32" s="0" t="inlineStr">
        <is>
          <t>AIA생명</t>
        </is>
      </c>
      <c r="B32" s="0" t="inlineStr">
        <is>
          <t>일반암진단</t>
        </is>
      </c>
      <c r="C32" s="0" t="inlineStr">
        <is>
          <t>일반암</t>
        </is>
      </c>
      <c r="D32" s="0" t="n">
        <v>2000</v>
      </c>
    </row>
    <row r="33">
      <c r="A33" s="0" t="inlineStr">
        <is>
          <t>AIA생명</t>
        </is>
      </c>
      <c r="B33" s="0" t="inlineStr">
        <is>
          <t>고액 암</t>
        </is>
      </c>
      <c r="C33" s="0" t="inlineStr">
        <is>
          <t>고액암</t>
        </is>
      </c>
      <c r="D33" s="0" t="n">
        <v>4000</v>
      </c>
    </row>
    <row r="34">
      <c r="A34" s="0" t="inlineStr">
        <is>
          <t>AIA생명</t>
        </is>
      </c>
      <c r="B34" s="0" t="inlineStr">
        <is>
          <t>소액 암</t>
        </is>
      </c>
      <c r="C34" s="0" t="inlineStr">
        <is>
          <t>유사암(갑.기.경.제)</t>
        </is>
      </c>
      <c r="D34" s="0" t="n">
        <v>400</v>
      </c>
    </row>
    <row r="35">
      <c r="A35" s="0" t="inlineStr">
        <is>
          <t>KB손보</t>
        </is>
      </c>
      <c r="B35" s="0" t="inlineStr">
        <is>
          <t>암진단비 （유사암제외）（335간편가입）（20 년갱신형）</t>
        </is>
      </c>
      <c r="C35" s="0" t="inlineStr">
        <is>
          <t>일반암</t>
        </is>
      </c>
      <c r="D35" s="0" t="n">
        <v>100</v>
      </c>
    </row>
    <row r="36">
      <c r="A36" s="0" t="inlineStr">
        <is>
          <t>KB손보</t>
        </is>
      </c>
      <c r="B36" s="0" t="inlineStr">
        <is>
          <t>유사암진단비 III （335간편가입）（20년갱신형）</t>
        </is>
      </c>
      <c r="C36" s="0" t="inlineStr">
        <is>
          <t>유사암(갑.기.경.제)</t>
        </is>
      </c>
      <c r="D36" s="0" t="n">
        <v>10</v>
      </c>
    </row>
    <row r="37">
      <c r="A37" s="0" t="inlineStr">
        <is>
          <t>KB손보</t>
        </is>
      </c>
      <c r="B37" s="0" t="inlineStr">
        <is>
          <t>재진단암진단비 （335간편가입）（20 년갱신형）</t>
        </is>
      </c>
      <c r="C37" s="0" t="inlineStr">
        <is>
          <t>일반암</t>
        </is>
      </c>
      <c r="D37" s="0" t="n">
        <v>100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2026-07-08T04:10:47Z</dcterms:modified>
  <cp:lastModifiedBy>Windows</cp:lastModifiedBy>
  <cp:revision>0</cp:revision>
  <cp:lastPrinted>2026-05-12T16:05:05Z</cp:lastPrinted>
</cp:coreProperties>
</file>