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장분석" sheetId="1" state="visible" r:id="rId3"/>
    <sheet name="법칙" sheetId="2" state="visible" r:id="rId4"/>
    <sheet name="확인사항" sheetId="3" state="visible" r:id="rId5"/>
    <sheet name="_dambo_raw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<sst xmlns="http://schemas.openxmlformats.org/spreadsheetml/2006/main" count="544" uniqueCount="340">
  <si>
    <t xml:space="preserve">백O화 보장진단</t>
  </si>
  <si>
    <r>
      <rPr>
        <b val="true"/>
        <sz val="9"/>
        <color rgb="FFFFFFFF"/>
        <rFont val="맑은 고딕"/>
        <family val="0"/>
        <charset val="1"/>
      </rPr>
      <t xml:space="preserve">KB</t>
    </r>
    <r>
      <rPr>
        <b val="true"/>
        <sz val="9"/>
        <color rgb="FFFFFFFF"/>
        <rFont val="Noto Sans CJK SC"/>
        <family val="2"/>
      </rPr>
      <t xml:space="preserve">손보
</t>
    </r>
    <r>
      <rPr>
        <b val="true"/>
        <sz val="9"/>
        <color rgb="FFFFFFFF"/>
        <rFont val="맑은 고딕"/>
        <family val="0"/>
        <charset val="1"/>
      </rPr>
      <t xml:space="preserve">KB </t>
    </r>
    <r>
      <rPr>
        <b val="true"/>
        <sz val="9"/>
        <color rgb="FFFFFFFF"/>
        <rFont val="Noto Sans CJK SC"/>
        <family val="2"/>
      </rPr>
      <t xml:space="preserve">탑클래스 </t>
    </r>
    <r>
      <rPr>
        <b val="true"/>
        <sz val="9"/>
        <color rgb="FFFFFFFF"/>
        <rFont val="맑은 고딕"/>
        <family val="0"/>
        <charset val="1"/>
      </rPr>
      <t xml:space="preserve">3.N.5 </t>
    </r>
    <r>
      <rPr>
        <b val="true"/>
        <sz val="9"/>
        <color rgb="FFFFFFFF"/>
        <rFont val="Noto Sans CJK SC"/>
        <family val="2"/>
      </rPr>
      <t xml:space="preserve">초경증 간편건강보험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세만기</t>
    </r>
    <r>
      <rPr>
        <b val="true"/>
        <sz val="9"/>
        <color rgb="FFFFFFFF"/>
        <rFont val="맑은 고딕"/>
        <family val="0"/>
        <charset val="1"/>
      </rPr>
      <t xml:space="preserve">)(</t>
    </r>
    <r>
      <rPr>
        <b val="true"/>
        <sz val="9"/>
        <color rgb="FFFFFFFF"/>
        <rFont val="Noto Sans CJK SC"/>
        <family val="2"/>
      </rPr>
      <t xml:space="preserve">무배당</t>
    </r>
    <r>
      <rPr>
        <b val="true"/>
        <sz val="9"/>
        <color rgb="FFFFFFFF"/>
        <rFont val="맑은 고딕"/>
        <family val="0"/>
        <charset val="1"/>
      </rPr>
      <t xml:space="preserve">)(26.01)_</t>
    </r>
    <r>
      <rPr>
        <b val="true"/>
        <sz val="9"/>
        <color rgb="FFFFFFFF"/>
        <rFont val="Noto Sans CJK SC"/>
        <family val="2"/>
      </rPr>
      <t xml:space="preserve">해약환급금 미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</si>
  <si>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메리츠화재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</t>
    </r>
    <r>
      <rPr>
        <b val="true"/>
        <sz val="9"/>
        <color rgb="FFFFFFFF"/>
        <rFont val="맑은 고딕"/>
        <family val="0"/>
        <charset val="1"/>
      </rPr>
      <t xml:space="preserve">) </t>
    </r>
    <r>
      <rPr>
        <b val="true"/>
        <sz val="9"/>
        <color rgb="FFFFFFFF"/>
        <rFont val="Noto Sans CJK SC"/>
        <family val="2"/>
      </rPr>
      <t xml:space="preserve">메리츠 또 걸려도 또 받는 간편한</t>
    </r>
    <r>
      <rPr>
        <b val="true"/>
        <sz val="9"/>
        <color rgb="FFFFFFFF"/>
        <rFont val="맑은 고딕"/>
        <family val="0"/>
        <charset val="1"/>
      </rPr>
      <t xml:space="preserve">355</t>
    </r>
    <r>
      <rPr>
        <b val="true"/>
        <sz val="9"/>
        <color rgb="FFFFFFFF"/>
        <rFont val="Noto Sans CJK SC"/>
        <family val="2"/>
      </rPr>
      <t xml:space="preserve">암보험</t>
    </r>
    <r>
      <rPr>
        <b val="true"/>
        <sz val="9"/>
        <color rgb="FFFFFFFF"/>
        <rFont val="맑은 고딕"/>
        <family val="0"/>
        <charset val="1"/>
      </rPr>
      <t xml:space="preserve">2404(</t>
    </r>
    <r>
      <rPr>
        <b val="true"/>
        <sz val="9"/>
        <color rgb="FFFFFFFF"/>
        <rFont val="Noto Sans CJK SC"/>
        <family val="2"/>
      </rPr>
      <t xml:space="preserve">갱신형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</si>
  <si>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메리츠화재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</t>
    </r>
    <r>
      <rPr>
        <b val="true"/>
        <sz val="9"/>
        <color rgb="FFFFFFFF"/>
        <rFont val="맑은 고딕"/>
        <family val="0"/>
        <charset val="1"/>
      </rPr>
      <t xml:space="preserve">) </t>
    </r>
    <r>
      <rPr>
        <b val="true"/>
        <sz val="9"/>
        <color rgb="FFFFFFFF"/>
        <rFont val="Noto Sans CJK SC"/>
        <family val="2"/>
      </rPr>
      <t xml:space="preserve">메리츠 간편한</t>
    </r>
    <r>
      <rPr>
        <b val="true"/>
        <sz val="9"/>
        <color rgb="FFFFFFFF"/>
        <rFont val="맑은 고딕"/>
        <family val="0"/>
        <charset val="1"/>
      </rPr>
      <t xml:space="preserve">355</t>
    </r>
    <r>
      <rPr>
        <b val="true"/>
        <sz val="9"/>
        <color rgb="FFFFFFFF"/>
        <rFont val="Noto Sans CJK SC"/>
        <family val="2"/>
      </rPr>
      <t xml:space="preserve">건강보험</t>
    </r>
    <r>
      <rPr>
        <b val="true"/>
        <sz val="9"/>
        <color rgb="FFFFFFFF"/>
        <rFont val="맑은 고딕"/>
        <family val="0"/>
        <charset val="1"/>
      </rPr>
      <t xml:space="preserve">(Ⅱ)2407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</si>
  <si>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한화손보
무배당 한아름플러스 종합보험</t>
    </r>
    <r>
      <rPr>
        <b val="true"/>
        <sz val="9"/>
        <color rgb="FFFFFFFF"/>
        <rFont val="맑은 고딕"/>
        <family val="0"/>
        <charset val="1"/>
      </rPr>
      <t xml:space="preserve">1106_TM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</si>
  <si>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롯데손보
무배당 </t>
    </r>
    <r>
      <rPr>
        <b val="true"/>
        <sz val="9"/>
        <color rgb="FFFFFFFF"/>
        <rFont val="맑은 고딕"/>
        <family val="0"/>
        <charset val="1"/>
      </rPr>
      <t xml:space="preserve">let:drive </t>
    </r>
    <r>
      <rPr>
        <b val="true"/>
        <sz val="9"/>
        <color rgb="FFFFFFFF"/>
        <rFont val="Noto Sans CJK SC"/>
        <family val="2"/>
      </rPr>
      <t xml:space="preserve">운전자보험</t>
    </r>
    <r>
      <rPr>
        <b val="true"/>
        <sz val="9"/>
        <color rgb="FFFFFFFF"/>
        <rFont val="맑은 고딕"/>
        <family val="0"/>
        <charset val="1"/>
      </rPr>
      <t xml:space="preserve">(2604)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</si>
  <si>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흥국화재
무배당 행복을 多주는 가족사랑통합보험</t>
    </r>
    <r>
      <rPr>
        <b val="true"/>
        <sz val="9"/>
        <color rgb="FFFFFFFF"/>
        <rFont val="맑은 고딕"/>
        <family val="0"/>
        <charset val="1"/>
      </rPr>
      <t xml:space="preserve">(1404)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</si>
  <si>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맑은 고딕"/>
        <family val="0"/>
        <charset val="1"/>
      </rPr>
      <t xml:space="preserve">DB</t>
    </r>
    <r>
      <rPr>
        <b val="true"/>
        <sz val="9"/>
        <color rgb="FFFFFFFF"/>
        <rFont val="Noto Sans CJK SC"/>
        <family val="2"/>
      </rPr>
      <t xml:space="preserve">손보
나에게맞춘고당지간편건강보험</t>
    </r>
    <r>
      <rPr>
        <b val="true"/>
        <sz val="9"/>
        <color rgb="FFFFFFFF"/>
        <rFont val="맑은 고딕"/>
        <family val="0"/>
        <charset val="1"/>
      </rPr>
      <t xml:space="preserve">2605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</si>
  <si>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맑은 고딕"/>
        <family val="0"/>
        <charset val="1"/>
      </rPr>
      <t xml:space="preserve">DB</t>
    </r>
    <r>
      <rPr>
        <b val="true"/>
        <sz val="9"/>
        <color rgb="FFFFFFFF"/>
        <rFont val="Noto Sans CJK SC"/>
        <family val="2"/>
      </rPr>
      <t xml:space="preserve">손보
실손의료비보험</t>
    </r>
    <r>
      <rPr>
        <b val="true"/>
        <sz val="9"/>
        <color rgb="FFFFFFFF"/>
        <rFont val="맑은 고딕"/>
        <family val="0"/>
        <charset val="1"/>
      </rPr>
      <t xml:space="preserve">1404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
(2</t>
    </r>
    <r>
      <rPr>
        <b val="true"/>
        <sz val="9"/>
        <color rgb="FFFFFFFF"/>
        <rFont val="Noto Sans CJK SC"/>
        <family val="2"/>
      </rPr>
      <t xml:space="preserve">세대 실손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</si>
  <si>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라이나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에이스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손보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우리집 무사고 할인보험</t>
    </r>
    <r>
      <rPr>
        <b val="true"/>
        <sz val="9"/>
        <color rgb="FFFFFFFF"/>
        <rFont val="맑은 고딕"/>
        <family val="0"/>
        <charset val="1"/>
      </rPr>
      <t xml:space="preserve">2404 1</t>
    </r>
    <r>
      <rPr>
        <b val="true"/>
        <sz val="9"/>
        <color rgb="FFFFFFFF"/>
        <rFont val="Noto Sans CJK SC"/>
        <family val="2"/>
      </rPr>
      <t xml:space="preserve">종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순수보장형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</si>
  <si>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교보생명
교보간편마이플랜건강보험 </t>
    </r>
    <r>
      <rPr>
        <b val="true"/>
        <sz val="9"/>
        <color rgb="FFFFFFFF"/>
        <rFont val="맑은 고딕"/>
        <family val="0"/>
        <charset val="1"/>
      </rPr>
      <t xml:space="preserve">[2411](</t>
    </r>
    <r>
      <rPr>
        <b val="true"/>
        <sz val="9"/>
        <color rgb="FFFFFFFF"/>
        <rFont val="Noto Sans CJK SC"/>
        <family val="2"/>
      </rPr>
      <t xml:space="preserve">무배당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</si>
  <si>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신한라이프생명
신한케어받는암보험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무배당</t>
    </r>
    <r>
      <rPr>
        <b val="true"/>
        <sz val="9"/>
        <color rgb="FFFFFFFF"/>
        <rFont val="맑은 고딕"/>
        <family val="0"/>
        <charset val="1"/>
      </rPr>
      <t xml:space="preserve">,</t>
    </r>
    <r>
      <rPr>
        <b val="true"/>
        <sz val="9"/>
        <color rgb="FFFFFFFF"/>
        <rFont val="Noto Sans CJK SC"/>
        <family val="2"/>
      </rPr>
      <t xml:space="preserve">갱신형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</si>
  <si>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맑은 고딕"/>
        <family val="0"/>
        <charset val="1"/>
      </rPr>
      <t xml:space="preserve">AIA</t>
    </r>
    <r>
      <rPr>
        <b val="true"/>
        <sz val="9"/>
        <color rgb="FFFFFFFF"/>
        <rFont val="Noto Sans CJK SC"/>
        <family val="2"/>
      </rPr>
      <t xml:space="preserve">생명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프라임평생설계２형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</si>
  <si>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동양생명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수호천사암치료는동양생명보험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갱신형</t>
    </r>
    <r>
      <rPr>
        <b val="true"/>
        <sz val="9"/>
        <color rgb="FFFFFFFF"/>
        <rFont val="맑은 고딕"/>
        <family val="0"/>
        <charset val="1"/>
      </rPr>
      <t xml:space="preserve">) </t>
    </r>
    <r>
      <rPr>
        <b val="true"/>
        <sz val="9"/>
        <color rgb="FFFFFFFF"/>
        <rFont val="Noto Sans CJK SC"/>
        <family val="2"/>
      </rPr>
      <t xml:space="preserve">간편심사형</t>
    </r>
    <r>
      <rPr>
        <b val="true"/>
        <sz val="9"/>
        <color rgb="FFFFFFFF"/>
        <rFont val="맑은 고딕"/>
        <family val="0"/>
        <charset val="1"/>
      </rPr>
      <t xml:space="preserve">(5) </t>
    </r>
    <r>
      <rPr>
        <b val="true"/>
        <sz val="9"/>
        <color rgb="FFFFFFFF"/>
        <rFont val="Noto Sans CJK SC"/>
        <family val="2"/>
      </rPr>
      <t xml:space="preserve">해약환급금미지급형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최초계약</t>
    </r>
    <r>
      <rPr>
        <b val="true"/>
        <sz val="9"/>
        <color rgb="FFFFFFFF"/>
        <rFont val="맑은 고딕"/>
        <family val="0"/>
        <charset val="1"/>
      </rPr>
      <t xml:space="preserve">-30</t>
    </r>
    <r>
      <rPr>
        <b val="true"/>
        <sz val="9"/>
        <color rgb="FFFFFFFF"/>
        <rFont val="Noto Sans CJK SC"/>
        <family val="2"/>
      </rPr>
      <t xml:space="preserve">년만기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</si>
  <si>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t xml:space="preserve">합계</t>
  </si>
  <si>
    <t xml:space="preserve">보험료</t>
  </si>
  <si>
    <t xml:space="preserve">가입년일</t>
  </si>
  <si>
    <t xml:space="preserve">2026.05.29</t>
  </si>
  <si>
    <t xml:space="preserve">2024.06.10</t>
  </si>
  <si>
    <t xml:space="preserve">2024.09.20</t>
  </si>
  <si>
    <t xml:space="preserve">2011.09.20</t>
  </si>
  <si>
    <t xml:space="preserve">2014.08.25</t>
  </si>
  <si>
    <t xml:space="preserve">2014.08.08</t>
  </si>
  <si>
    <t xml:space="preserve">2024.09.11</t>
  </si>
  <si>
    <t xml:space="preserve">2025.03.12</t>
  </si>
  <si>
    <t xml:space="preserve">2024.12.31</t>
  </si>
  <si>
    <t xml:space="preserve">2003.11.06</t>
  </si>
  <si>
    <t xml:space="preserve">2024.10.07</t>
  </si>
  <si>
    <t xml:space="preserve">만기일자</t>
  </si>
  <si>
    <t xml:space="preserve">2066.05.29</t>
  </si>
  <si>
    <t xml:space="preserve">2066.06.10</t>
  </si>
  <si>
    <t xml:space="preserve">2066.09.20</t>
  </si>
  <si>
    <t xml:space="preserve">2056.09.20</t>
  </si>
  <si>
    <t xml:space="preserve">2046.05.29</t>
  </si>
  <si>
    <t xml:space="preserve">2066.08.25</t>
  </si>
  <si>
    <t xml:space="preserve">2056.05.29</t>
  </si>
  <si>
    <t xml:space="preserve">2029.08.08</t>
  </si>
  <si>
    <t xml:space="preserve">2034.09.11</t>
  </si>
  <si>
    <t xml:space="preserve">2066.03.12</t>
  </si>
  <si>
    <t xml:space="preserve">2044.12.31</t>
  </si>
  <si>
    <t xml:space="preserve">9999.12.31</t>
  </si>
  <si>
    <t xml:space="preserve">2054.10.07</t>
  </si>
  <si>
    <t xml:space="preserve">총납입기간</t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</si>
  <si>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()</t>
    </r>
  </si>
  <si>
    <r>
      <rPr>
        <sz val="9"/>
        <color rgb="FF0070C0"/>
        <rFont val="맑은 고딕"/>
        <family val="0"/>
        <charset val="1"/>
      </rPr>
      <t xml:space="preserve">20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()</t>
    </r>
  </si>
  <si>
    <r>
      <rPr>
        <sz val="9"/>
        <color rgb="FF0070C0"/>
        <rFont val="맑은 고딕"/>
        <family val="0"/>
        <charset val="1"/>
      </rPr>
      <t xml:space="preserve">30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()</t>
    </r>
  </si>
  <si>
    <r>
      <rPr>
        <sz val="9"/>
        <color rgb="FF000000"/>
        <rFont val="맑은 고딕"/>
        <family val="0"/>
        <charset val="1"/>
      </rPr>
      <t xml:space="preserve">23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()</t>
    </r>
  </si>
  <si>
    <t xml:space="preserve">사망</t>
  </si>
  <si>
    <t xml:space="preserve">일반사망</t>
  </si>
  <si>
    <t xml:space="preserve">중대한CI적용</t>
  </si>
  <si>
    <t xml:space="preserve">질병사망(80세)</t>
  </si>
  <si>
    <t xml:space="preserve">교통상해사망</t>
  </si>
  <si>
    <t xml:space="preserve">상해사망</t>
  </si>
  <si>
    <t xml:space="preserve">후유장애</t>
  </si>
  <si>
    <t xml:space="preserve">상해후유3%</t>
  </si>
  <si>
    <t xml:space="preserve">상해후유80%</t>
  </si>
  <si>
    <t xml:space="preserve">질병후유3%</t>
  </si>
  <si>
    <t xml:space="preserve">질병후유80%</t>
  </si>
  <si>
    <t xml:space="preserve">암</t>
  </si>
  <si>
    <t xml:space="preserve">고액암</t>
  </si>
  <si>
    <t xml:space="preserve">일반암</t>
  </si>
  <si>
    <t xml:space="preserve">중대한 암</t>
  </si>
  <si>
    <t xml:space="preserve">유사암(갑.기.경.제)</t>
  </si>
  <si>
    <t xml:space="preserve">통합전이암</t>
  </si>
  <si>
    <t xml:space="preserve">암주요치료비</t>
  </si>
  <si>
    <t xml:space="preserve">하이클래스(암)</t>
  </si>
  <si>
    <t xml:space="preserve">중입자치료비</t>
  </si>
  <si>
    <t xml:space="preserve">표적항암치료비</t>
  </si>
  <si>
    <t xml:space="preserve">양성자치료</t>
  </si>
  <si>
    <t xml:space="preserve">세기조절치료</t>
  </si>
  <si>
    <t xml:space="preserve">다빈치로봇수술비</t>
  </si>
  <si>
    <t xml:space="preserve">암수술</t>
  </si>
  <si>
    <t xml:space="preserve">암일당</t>
  </si>
  <si>
    <t xml:space="preserve">항암방사선약물</t>
  </si>
  <si>
    <t xml:space="preserve">뇌혈관</t>
  </si>
  <si>
    <t xml:space="preserve">뇌혈관진단비</t>
  </si>
  <si>
    <t xml:space="preserve">뇌졸증진단비</t>
  </si>
  <si>
    <t xml:space="preserve">중대한 뇌졸증</t>
  </si>
  <si>
    <t xml:space="preserve">뇌출혈진단비</t>
  </si>
  <si>
    <t xml:space="preserve">외상성뇌출혈</t>
  </si>
  <si>
    <t xml:space="preserve">산정특례뇌혈관</t>
  </si>
  <si>
    <t xml:space="preserve">2대 주요치료비</t>
  </si>
  <si>
    <t xml:space="preserve">혈전용해치료비</t>
  </si>
  <si>
    <t xml:space="preserve">심장</t>
  </si>
  <si>
    <t xml:space="preserve">협심증</t>
  </si>
  <si>
    <t xml:space="preserve">심부전</t>
  </si>
  <si>
    <t xml:space="preserve">빈맥</t>
  </si>
  <si>
    <t xml:space="preserve">염증</t>
  </si>
  <si>
    <t xml:space="preserve">부정맥</t>
  </si>
  <si>
    <t xml:space="preserve">심근병증</t>
  </si>
  <si>
    <t xml:space="preserve">심장판막</t>
  </si>
  <si>
    <t xml:space="preserve">산정특례심장</t>
  </si>
  <si>
    <r>
      <rPr>
        <b val="true"/>
        <sz val="9"/>
        <color rgb="FF000000"/>
        <rFont val="맑은 고딕"/>
        <family val="3"/>
        <charset val="129"/>
      </rPr>
      <t xml:space="preserve">2</t>
    </r>
    <r>
      <rPr>
        <b val="true"/>
        <sz val="9"/>
        <color rgb="FF000000"/>
        <rFont val="Noto Sans CJK SC"/>
        <family val="2"/>
      </rPr>
      <t xml:space="preserve">대 주요치료비</t>
    </r>
  </si>
  <si>
    <t xml:space="preserve">허혈성 진단비</t>
  </si>
  <si>
    <t xml:space="preserve">급성심근경색</t>
  </si>
  <si>
    <t xml:space="preserve">중대한 급성심근</t>
  </si>
  <si>
    <t xml:space="preserve">일당</t>
  </si>
  <si>
    <t xml:space="preserve">질병일당</t>
  </si>
  <si>
    <t xml:space="preserve">질병수술일당</t>
  </si>
  <si>
    <t xml:space="preserve">질병종합병원일당</t>
  </si>
  <si>
    <t xml:space="preserve">상해일당</t>
  </si>
  <si>
    <t xml:space="preserve">상해수술일당</t>
  </si>
  <si>
    <t xml:space="preserve">간병인</t>
  </si>
  <si>
    <t xml:space="preserve">간병인지원일당</t>
  </si>
  <si>
    <t xml:space="preserve">간호통합병동</t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</si>
  <si>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종합병원</t>
    </r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</si>
  <si>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상급병원</t>
    </r>
  </si>
  <si>
    <t xml:space="preserve">질병중환자실</t>
  </si>
  <si>
    <t xml:space="preserve">상해중환자실</t>
  </si>
  <si>
    <t xml:space="preserve">수술</t>
  </si>
  <si>
    <t xml:space="preserve">상해수술비</t>
  </si>
  <si>
    <t xml:space="preserve">중대한상해수술비</t>
  </si>
  <si>
    <t xml:space="preserve">상해 종수술비(1-5종)</t>
  </si>
  <si>
    <t xml:space="preserve">20/60/200/400/800</t>
  </si>
  <si>
    <t xml:space="preserve">상해 종수술비(1-8종)</t>
  </si>
  <si>
    <t xml:space="preserve">창상봉합술</t>
  </si>
  <si>
    <t xml:space="preserve">골절수술비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</si>
  <si>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대골절수술비</t>
    </r>
  </si>
  <si>
    <t xml:space="preserve">화상수술비</t>
  </si>
  <si>
    <t xml:space="preserve">질병수술비</t>
  </si>
  <si>
    <t xml:space="preserve">질병 종수술비(1-5종)</t>
  </si>
  <si>
    <t xml:space="preserve">30/30/300/1000/1000</t>
  </si>
  <si>
    <t xml:space="preserve">질병 종수술비(1-8종)</t>
  </si>
  <si>
    <t xml:space="preserve">뇌혈관수술비</t>
  </si>
  <si>
    <t xml:space="preserve">허혈성수술비</t>
  </si>
  <si>
    <t xml:space="preserve">심장수술비</t>
  </si>
  <si>
    <r>
      <rPr>
        <b val="true"/>
        <sz val="9"/>
        <color rgb="FF000000"/>
        <rFont val="맑은 고딕"/>
        <family val="3"/>
        <charset val="129"/>
      </rPr>
      <t xml:space="preserve">120</t>
    </r>
    <r>
      <rPr>
        <b val="true"/>
        <sz val="9"/>
        <color rgb="FF000000"/>
        <rFont val="Noto Sans CJK SC"/>
        <family val="2"/>
      </rPr>
      <t xml:space="preserve">대수술비</t>
    </r>
  </si>
  <si>
    <t xml:space="preserve">150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</si>
  <si>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관혈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</si>
  <si>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비관혈</t>
    </r>
  </si>
  <si>
    <t xml:space="preserve">운전</t>
  </si>
  <si>
    <t xml:space="preserve">대인</t>
  </si>
  <si>
    <t xml:space="preserve">대물</t>
  </si>
  <si>
    <t xml:space="preserve">합의금</t>
  </si>
  <si>
    <r>
      <rPr>
        <b val="true"/>
        <sz val="9"/>
        <color rgb="FF000000"/>
        <rFont val="맑은 고딕"/>
        <family val="3"/>
        <charset val="129"/>
      </rPr>
      <t xml:space="preserve">6</t>
    </r>
    <r>
      <rPr>
        <b val="true"/>
        <sz val="9"/>
        <color rgb="FF000000"/>
        <rFont val="Noto Sans CJK SC"/>
        <family val="2"/>
      </rPr>
      <t xml:space="preserve">주미만</t>
    </r>
  </si>
  <si>
    <t xml:space="preserve">변호사</t>
  </si>
  <si>
    <t xml:space="preserve">자부상</t>
  </si>
  <si>
    <t xml:space="preserve">골절</t>
  </si>
  <si>
    <t xml:space="preserve">골절(치아파절포함)</t>
  </si>
  <si>
    <t xml:space="preserve">골절(치아파절제외)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</si>
  <si>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대골절진단비</t>
    </r>
  </si>
  <si>
    <t xml:space="preserve">응급실</t>
  </si>
  <si>
    <t xml:space="preserve">응급실(응급)</t>
  </si>
  <si>
    <t xml:space="preserve">독감</t>
  </si>
  <si>
    <t xml:space="preserve">화상</t>
  </si>
  <si>
    <t xml:space="preserve">화상진단비</t>
  </si>
  <si>
    <t xml:space="preserve">중증화상진단비</t>
  </si>
  <si>
    <t xml:space="preserve">깁스</t>
  </si>
  <si>
    <t xml:space="preserve">반깁스</t>
  </si>
  <si>
    <t xml:space="preserve">깁스진단비</t>
  </si>
  <si>
    <t xml:space="preserve">실손</t>
  </si>
  <si>
    <t xml:space="preserve">입원</t>
  </si>
  <si>
    <t xml:space="preserve">통원</t>
  </si>
  <si>
    <t xml:space="preserve">약값</t>
  </si>
  <si>
    <t xml:space="preserve">MRI/도수치료/비급여주사</t>
  </si>
  <si>
    <t xml:space="preserve">10/0/0</t>
  </si>
  <si>
    <t xml:space="preserve">일배책</t>
  </si>
  <si>
    <t xml:space="preserve">일상배상책임</t>
  </si>
  <si>
    <t xml:space="preserve">바름 보장분석 법칙 v2 — 이 표본에 내장 (2026.06.09)</t>
  </si>
  <si>
    <t xml:space="preserve">1</t>
  </si>
  <si>
    <t xml:space="preserve">폼 무변형: 이 표본을 열어 값만 채운다. 새 워크북·행삭제·카테고리축소 금지. 추가만(그룹 안 행삽입), 표 밖 금지.</t>
  </si>
  <si>
    <t xml:space="preserve">2</t>
  </si>
  <si>
    <t xml:space="preserve">새 고객 입력 시 이전 고객 값 전부 zero화(이 표본에서 새로 시작).</t>
  </si>
  <si>
    <t xml:space="preserve">3</t>
  </si>
  <si>
    <t xml:space="preserve">열=계약(최대 50). 행=담보(15구분·82행). 끝열=합계.</t>
  </si>
  <si>
    <t xml:space="preserve">4</t>
  </si>
  <si>
    <t xml:space="preserve">합계 = 세로(계약별) SUM. 4페이지 한장보장 값을 합계칸 직박음 금지(눈속임). 계약별 칸을 채워야 합계가 산다.</t>
  </si>
  <si>
    <t xml:space="preserve">5</t>
  </si>
  <si>
    <t xml:space="preserve">계약별 대조 필수: A담보가 B회사 칸으로 가면 안 됨.</t>
  </si>
  <si>
    <t xml:space="preserve">6</t>
  </si>
  <si>
    <r>
      <rPr>
        <sz val="11"/>
        <color rgb="FF000000"/>
        <rFont val="맑은 고딕"/>
        <family val="3"/>
        <charset val="129"/>
      </rPr>
      <t xml:space="preserve">1~5</t>
    </r>
    <r>
      <rPr>
        <sz val="11"/>
        <color rgb="FF000000"/>
        <rFont val="Noto Sans CJK SC"/>
        <family val="2"/>
      </rPr>
      <t xml:space="preserve">종 수술비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상해 각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슬래시 가로표기 </t>
    </r>
    <r>
      <rPr>
        <sz val="11"/>
        <color rgb="FF000000"/>
        <rFont val="맑은 고딕"/>
        <family val="3"/>
        <charset val="129"/>
      </rPr>
      <t xml:space="preserve">"20/50/100/500/1000", </t>
    </r>
    <r>
      <rPr>
        <sz val="11"/>
        <color rgb="FF000000"/>
        <rFont val="Noto Sans CJK SC"/>
        <family val="2"/>
      </rPr>
      <t xml:space="preserve">합계도 종별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</si>
  <si>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7</t>
  </si>
  <si>
    <t xml:space="preserve">갱신/비갱신: ①갱신형명시→갱신 ②운전자→비갱신 ③9999→비갱신 ④총회차240초과→비갱신 ⑤납입년수≠보장년수→비갱신.</t>
  </si>
  <si>
    <t xml:space="preserve">8</t>
  </si>
  <si>
    <t xml:space="preserve">색: 갱신=파랑 / 비갱신=검정 / 미가입=빨강. 구분셀=연두. 헤더 갱신블루·비갱신레드·완납진녹.</t>
  </si>
  <si>
    <t xml:space="preserve">9</t>
  </si>
  <si>
    <t xml:space="preserve">심장=담보명 직행(허혈성→허혈성칸, 전파금지). 불확정은 기재+[확인].</t>
  </si>
  <si>
    <t xml:space="preserve">10</t>
  </si>
  <si>
    <r>
      <rPr>
        <sz val="11"/>
        <color rgb="FF000000"/>
        <rFont val="맑은 고딕"/>
        <family val="3"/>
        <charset val="129"/>
      </rPr>
      <t xml:space="preserve">9999(</t>
    </r>
    <r>
      <rPr>
        <sz val="11"/>
        <color rgb="FF000000"/>
        <rFont val="Noto Sans CJK SC"/>
        <family val="2"/>
      </rPr>
      <t xml:space="preserve">생보</t>
    </r>
    <r>
      <rPr>
        <sz val="11"/>
        <color rgb="FF000000"/>
        <rFont val="맑은 고딕"/>
        <family val="3"/>
        <charset val="129"/>
      </rPr>
      <t xml:space="preserve">)=</t>
    </r>
    <r>
      <rPr>
        <sz val="11"/>
        <color rgb="FF000000"/>
        <rFont val="Noto Sans CJK SC"/>
        <family val="2"/>
      </rPr>
      <t xml:space="preserve">종신 → 일반사망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)+</t>
    </r>
    <r>
      <rPr>
        <sz val="11"/>
        <color rgb="FF000000"/>
        <rFont val="Noto Sans CJK SC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손보 질병사망</t>
    </r>
    <r>
      <rPr>
        <sz val="11"/>
        <color rgb="FF000000"/>
        <rFont val="맑은 고딕"/>
        <family val="3"/>
        <charset val="129"/>
      </rPr>
      <t xml:space="preserve">=80</t>
    </r>
    <r>
      <rPr>
        <sz val="11"/>
        <color rgb="FF000000"/>
        <rFont val="Noto Sans CJK SC"/>
        <family val="2"/>
      </rPr>
      <t xml:space="preserve">세칸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</si>
  <si>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11</t>
  </si>
  <si>
    <t xml:space="preserve">추측 금지: 모르면 빈칸+[확인]. 채우는 게 최악, 비우고 메모가 차선, 확정 기재가 최선. 자동천장 95%.</t>
  </si>
  <si>
    <t xml:space="preserve">12</t>
  </si>
  <si>
    <t xml:space="preserve">엑셀=원천, PPT는 완성 엑셀만 읽음(PDF→엑셀→PPT). 제출 전 렌더검수 통과한 것만.</t>
  </si>
  <si>
    <r>
      <rPr>
        <sz val="11"/>
        <color rgb="FF000000"/>
        <rFont val="Noto Sans CJK SC"/>
        <family val="2"/>
      </rPr>
      <t xml:space="preserve">백</t>
    </r>
    <r>
      <rPr>
        <sz val="11"/>
        <color rgb="FF000000"/>
        <rFont val="맑은 고딕"/>
        <family val="3"/>
        <charset val="129"/>
      </rPr>
      <t xml:space="preserve">O</t>
    </r>
    <r>
      <rPr>
        <sz val="11"/>
        <color rgb="FF000000"/>
        <rFont val="Noto Sans CJK SC"/>
        <family val="2"/>
      </rPr>
      <t xml:space="preserve">화 </t>
    </r>
    <r>
      <rPr>
        <sz val="11"/>
        <color rgb="FF000000"/>
        <rFont val="맑은 고딕"/>
        <family val="3"/>
        <charset val="129"/>
      </rPr>
      <t xml:space="preserve">· </t>
    </r>
    <r>
      <rPr>
        <sz val="11"/>
        <color rgb="FF000000"/>
        <rFont val="Noto Sans CJK SC"/>
        <family val="2"/>
      </rPr>
      <t xml:space="preserve">자동분석 </t>
    </r>
    <r>
      <rPr>
        <sz val="11"/>
        <color rgb="FF000000"/>
        <rFont val="맑은 고딕"/>
        <family val="3"/>
        <charset val="129"/>
      </rPr>
      <t xml:space="preserve">2026.07.13</t>
    </r>
  </si>
  <si>
    <t xml:space="preserve">계약수</t>
  </si>
  <si>
    <t xml:space="preserve">월보험료합계</t>
  </si>
  <si>
    <r>
      <rPr>
        <sz val="11"/>
        <color rgb="FF000000"/>
        <rFont val="맑은 고딕"/>
        <family val="3"/>
        <charset val="129"/>
      </rPr>
      <t xml:space="preserve">910,108</t>
    </r>
    <r>
      <rPr>
        <sz val="11"/>
        <color rgb="FF000000"/>
        <rFont val="Noto Sans CJK SC"/>
        <family val="2"/>
      </rPr>
      <t xml:space="preserve">원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</si>
  <si>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자동매핑 실패 담보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마스터 미수록 또는 약관 확인 후 수기 기재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</si>
  <si>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회사</t>
  </si>
  <si>
    <t xml:space="preserve">담보명</t>
  </si>
  <si>
    <r>
      <rPr>
        <sz val="11"/>
        <color rgb="FF000000"/>
        <rFont val="Noto Sans CJK SC"/>
        <family val="2"/>
      </rPr>
      <t xml:space="preserve">금액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</si>
  <si>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보장범위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참고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</si>
  <si>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약관검색</t>
  </si>
  <si>
    <t xml:space="preserve">메리츠화재</t>
  </si>
  <si>
    <r>
      <rPr>
        <sz val="11"/>
        <color rgb="FF000000"/>
        <rFont val="Noto Sans CJK SC"/>
        <family val="2"/>
      </rPr>
      <t xml:space="preserve">특정순환계질환 급여치료비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요양병원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본인부담금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백만원이상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 5</t>
    </r>
    <r>
      <rPr>
        <sz val="11"/>
        <color rgb="FF000000"/>
        <rFont val="Noto Sans CJK SC"/>
        <family val="2"/>
      </rPr>
      <t xml:space="preserve">년간</t>
    </r>
    <r>
      <rPr>
        <sz val="11"/>
        <color rgb="FF000000"/>
        <rFont val="맑은 고딕"/>
        <family val="3"/>
        <charset val="129"/>
      </rPr>
      <t xml:space="preserve">)(355</t>
    </r>
    <r>
      <rPr>
        <sz val="11"/>
        <color rgb="FF000000"/>
        <rFont val="Noto Sans CJK SC"/>
        <family val="2"/>
      </rPr>
      <t xml:space="preserve">간</t>
    </r>
    <r>
      <rPr>
        <sz val="11"/>
        <color rgb="FF000000"/>
        <rFont val="맑은 고딕"/>
        <family val="3"/>
        <charset val="129"/>
      </rPr>
      <t xml:space="preserve">...</t>
    </r>
  </si>
  <si>
    <t xml:space="preserve">https://search.naver.com/search.naver?query=%EB%A9%94%EB%A6%AC%EC%B8%A0%ED%99%94%EC%9E%AC%20%EB%AC%B4%20%20%EB%A9%94%EB%A6%AC%EC%B8%A0%20%EA%B0%84%ED%8E%B8%ED%95%9C355%EA%B1%B4%EA%B0%95%EB%B3%B4%ED%97%98%20%ED%8A%B9%EC%A0%95%EC%88%9C%ED%99%98%EA%B3%84%EC%A7%88%ED%99%98%20%EA%B8%89%EC%97%AC%EC%B9%98%EB%A3%8C%20%EC%95%BD%EA%B4%80%20%EB%B3%B4%EC%9E%A5%EB%82%B4%EC%9A%A9</t>
  </si>
  <si>
    <r>
      <rPr>
        <sz val="11"/>
        <color rgb="FF000000"/>
        <rFont val="Noto Sans CJK SC"/>
        <family val="2"/>
      </rPr>
      <t xml:space="preserve">특정순환계질환 급여치료비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요양병원제외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본인부담금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백만원이상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 5</t>
    </r>
    <r>
      <rPr>
        <sz val="11"/>
        <color rgb="FF000000"/>
        <rFont val="Noto Sans CJK SC"/>
        <family val="2"/>
      </rPr>
      <t xml:space="preserve">년간</t>
    </r>
    <r>
      <rPr>
        <sz val="11"/>
        <color rgb="FF000000"/>
        <rFont val="맑은 고딕"/>
        <family val="3"/>
        <charset val="129"/>
      </rPr>
      <t xml:space="preserve">)(35...</t>
    </r>
  </si>
  <si>
    <t xml:space="preserve">롯데손보</t>
  </si>
  <si>
    <r>
      <rPr>
        <sz val="11"/>
        <color rgb="FF000000"/>
        <rFont val="Noto Sans CJK SC"/>
        <family val="2"/>
      </rPr>
      <t xml:space="preserve">자동차사고부상Ⅱ</t>
    </r>
    <r>
      <rPr>
        <sz val="11"/>
        <color rgb="FF000000"/>
        <rFont val="맑은 고딕"/>
        <family val="3"/>
        <charset val="129"/>
      </rPr>
      <t xml:space="preserve">(1~3</t>
    </r>
    <r>
      <rPr>
        <sz val="11"/>
        <color rgb="FF000000"/>
        <rFont val="Noto Sans CJK SC"/>
        <family val="2"/>
      </rPr>
      <t xml:space="preserve">급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</si>
  <si>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B%A1%AF%EB%8D%B0%EC%86%90%EB%B3%B4%20%EB%AC%B4%EB%B0%B0%EB%8B%B9%20let%3Adrive%20%EC%9A%B4%EC%A0%84%EC%9E%90%EB%B3%B4%20%EC%9E%90%EB%8F%99%EC%B0%A8%EC%82%AC%EA%B3%A0%EB%B6%80%EC%83%81%E2%85%A1%281~3%20%EC%95%BD%EA%B4%80%20%EB%B3%B4%EC%9E%A5%EB%82%B4%EC%9A%A9</t>
  </si>
  <si>
    <r>
      <rPr>
        <sz val="11"/>
        <color rgb="FF000000"/>
        <rFont val="Noto Sans CJK SC"/>
        <family val="2"/>
      </rPr>
      <t xml:space="preserve">상해통원수술비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당일입원포함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</si>
  <si>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B%A1%AF%EB%8D%B0%EC%86%90%EB%B3%B4%20%EB%AC%B4%EB%B0%B0%EB%8B%B9%20let%3Adrive%20%EC%9A%B4%EC%A0%84%EC%9E%90%EB%B3%B4%20%EC%83%81%ED%95%B4%ED%86%B5%EC%9B%90%EC%88%98%EC%88%A0%EB%B9%84%28%EB%8B%B9%EC%9D%BC%EC%9E%85%EC%9B%90%20%EC%95%BD%EA%B4%80%20%EB%B3%B4%EC%9E%A5%EB%82%B4%EC%9A%A9</t>
  </si>
  <si>
    <r>
      <rPr>
        <sz val="11"/>
        <color rgb="FF000000"/>
        <rFont val="Noto Sans CJK SC"/>
        <family val="2"/>
      </rPr>
      <t xml:space="preserve">상해재활치료비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급여</t>
    </r>
    <r>
      <rPr>
        <sz val="11"/>
        <color rgb="FF000000"/>
        <rFont val="맑은 고딕"/>
        <family val="3"/>
        <charset val="129"/>
      </rPr>
      <t xml:space="preserve">,1</t>
    </r>
    <r>
      <rPr>
        <sz val="11"/>
        <color rgb="FF000000"/>
        <rFont val="Noto Sans CJK SC"/>
        <family val="2"/>
      </rPr>
      <t xml:space="preserve">일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60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</si>
  <si>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B%A1%AF%EB%8D%B0%EC%86%90%EB%B3%B4%20%EB%AC%B4%EB%B0%B0%EB%8B%B9%20let%3Adrive%20%EC%9A%B4%EC%A0%84%EC%9E%90%EB%B3%B4%20%EC%83%81%ED%95%B4%EC%9E%AC%ED%99%9C%EC%B9%98%EB%A3%8C%EB%B9%84%28%EA%B8%89%EC%97%AC%2C1%20%EC%95%BD%EA%B4%80%20%EB%B3%B4%EC%9E%A5%EB%82%B4%EC%9A%A9</t>
  </si>
  <si>
    <r>
      <rPr>
        <sz val="11"/>
        <color rgb="FF000000"/>
        <rFont val="Noto Sans CJK SC"/>
        <family val="2"/>
      </rPr>
      <t xml:space="preserve">자동차사고부상Ⅱ</t>
    </r>
    <r>
      <rPr>
        <sz val="11"/>
        <color rgb="FF000000"/>
        <rFont val="맑은 고딕"/>
        <family val="3"/>
        <charset val="129"/>
      </rPr>
      <t xml:space="preserve">(1~7</t>
    </r>
    <r>
      <rPr>
        <sz val="11"/>
        <color rgb="FF000000"/>
        <rFont val="Noto Sans CJK SC"/>
        <family val="2"/>
      </rPr>
      <t xml:space="preserve">급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</si>
  <si>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B%A1%AF%EB%8D%B0%EC%86%90%EB%B3%B4%20%EB%AC%B4%EB%B0%B0%EB%8B%B9%20let%3Adrive%20%EC%9A%B4%EC%A0%84%EC%9E%90%EB%B3%B4%20%EC%9E%90%EB%8F%99%EC%B0%A8%EC%82%AC%EA%B3%A0%EB%B6%80%EC%83%81%E2%85%A1%281~7%20%EC%95%BD%EA%B4%80%20%EB%B3%B4%EC%9E%A5%EB%82%B4%EC%9A%A9</t>
  </si>
  <si>
    <t xml:space="preserve">흥국화재</t>
  </si>
  <si>
    <r>
      <rPr>
        <sz val="11"/>
        <color rgb="FF000000"/>
        <rFont val="Noto Sans CJK SC"/>
        <family val="2"/>
      </rPr>
      <t xml:space="preserve">일반상해생활자금</t>
    </r>
    <r>
      <rPr>
        <sz val="11"/>
        <color rgb="FF000000"/>
        <rFont val="맑은 고딕"/>
        <family val="3"/>
        <charset val="129"/>
      </rPr>
      <t xml:space="preserve">(50%</t>
    </r>
    <r>
      <rPr>
        <sz val="11"/>
        <color rgb="FF000000"/>
        <rFont val="Noto Sans CJK SC"/>
        <family val="2"/>
      </rPr>
      <t xml:space="preserve">이상</t>
    </r>
    <r>
      <rPr>
        <sz val="11"/>
        <color rgb="FF000000"/>
        <rFont val="맑은 고딕"/>
        <family val="3"/>
        <charset val="129"/>
      </rPr>
      <t xml:space="preserve">_20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</si>
  <si>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D%9D%A5%EA%B5%AD%ED%99%94%EC%9E%AC%20%EB%AC%B4%EB%B0%B0%EB%8B%B9%20%ED%96%89%EB%B3%B5%EC%9D%84%20%E5%A4%9A%EC%A3%BC%EB%8A%94%20%EA%B0%80%EC%A1%B1%EC%82%AC%EB%9E%91%ED%86%B5%ED%95%A9%20%EC%9D%BC%EB%B0%98%EC%83%81%ED%95%B4%EC%83%9D%ED%99%9C%EC%9E%90%EA%B8%88%2850%25%20%EC%95%BD%EA%B4%80%20%EB%B3%B4%EC%9E%A5%EB%82%B4%EC%9A%A9</t>
  </si>
  <si>
    <t xml:space="preserve">인공관절수술비</t>
  </si>
  <si>
    <t xml:space="preserve">https://search.naver.com/search.naver?query=%ED%9D%A5%EA%B5%AD%ED%99%94%EC%9E%AC%20%EB%AC%B4%EB%B0%B0%EB%8B%B9%20%ED%96%89%EB%B3%B5%EC%9D%84%20%E5%A4%9A%EC%A3%BC%EB%8A%94%20%EA%B0%80%EC%A1%B1%EC%82%AC%EB%9E%91%ED%86%B5%ED%95%A9%20%EC%9D%B8%EA%B3%B5%EA%B4%80%EC%A0%88%EC%88%98%EC%88%A0%EB%B9%84%20%EC%95%BD%EA%B4%80%20%EB%B3%B4%EC%9E%A5%EB%82%B4%EC%9A%A9</t>
  </si>
  <si>
    <t xml:space="preserve">교통상해부상처리비용</t>
  </si>
  <si>
    <t xml:space="preserve">https://search.naver.com/search.naver?query=%ED%9D%A5%EA%B5%AD%ED%99%94%EC%9E%AC%20%EB%AC%B4%EB%B0%B0%EB%8B%B9%20%ED%96%89%EB%B3%B5%EC%9D%84%20%E5%A4%9A%EC%A3%BC%EB%8A%94%20%EA%B0%80%EC%A1%B1%EC%82%AC%EB%9E%91%ED%86%B5%ED%95%A9%20%EA%B5%90%ED%86%B5%EC%83%81%ED%95%B4%EB%B6%80%EC%83%81%EC%B2%98%EB%A6%AC%EB%B9%84%EC%9A%A9%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</si>
  <si>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DB</t>
    </r>
    <r>
      <rPr>
        <sz val="11"/>
        <color rgb="FF000000"/>
        <rFont val="Noto Sans CJK SC"/>
        <family val="2"/>
      </rPr>
      <t xml:space="preserve">손보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</si>
  <si>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뇌동맥류진단비Ⅱ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비파열성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</si>
  <si>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DB%EC%86%90%EB%B3%B4%20%EB%82%98%EC%97%90%EA%B2%8C%EB%A7%9E%EC%B6%98%EA%B3%A0%EB%8B%B9%EC%A7%80%EA%B0%84%ED%8E%B8%EA%B1%B4%EA%B0%95%EB%B3%B4%ED%97%982605%20%28%EB%A7%9E%EC%B6%A4_%EA%B0%84%ED%8E%B8%EA%B3%A0%EC%A7%80%E2%85%A2%29%EB%87%8C%EB%8F%99%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</si>
  <si>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질병수술비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상급종합병원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매회지급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</si>
  <si>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DB%EC%86%90%EB%B3%B4%20%EB%82%98%EC%97%90%EA%B2%8C%EB%A7%9E%EC%B6%98%EA%B3%A0%EB%8B%B9%EC%A7%80%EA%B0%84%ED%8E%B8%EA%B1%B4%EA%B0%95%EB%B3%B4%ED%97%982605%20%28%EB%A7%9E%EC%B6%A4_%EA%B0%84%ED%8E%B8%EA%B3%A0%EC%A7%80%E2%85%A2%29%EC%A7%88%EB%B3%91%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</si>
  <si>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질병통합치료비Ⅱ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실속형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전신마취수술</t>
    </r>
    <r>
      <rPr>
        <sz val="11"/>
        <color rgb="FF000000"/>
        <rFont val="맑은 고딕"/>
        <family val="3"/>
        <charset val="129"/>
      </rPr>
      <t xml:space="preserve">)(6</t>
    </r>
    <r>
      <rPr>
        <sz val="11"/>
        <color rgb="FF000000"/>
        <rFont val="Noto Sans CJK SC"/>
        <family val="2"/>
      </rPr>
      <t xml:space="preserve">시간이상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급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</si>
  <si>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질병통합치료비Ⅱ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실속형</t>
    </r>
    <r>
      <rPr>
        <sz val="11"/>
        <color rgb="FF000000"/>
        <rFont val="맑은 고딕"/>
        <family val="3"/>
        <charset val="129"/>
      </rPr>
      <t xml:space="preserve">)(CT</t>
    </r>
    <r>
      <rPr>
        <sz val="11"/>
        <color rgb="FF000000"/>
        <rFont val="Noto Sans CJK SC"/>
        <family val="2"/>
      </rPr>
      <t xml:space="preserve">검사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급여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</si>
  <si>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질병통합치료비Ⅱ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실속형</t>
    </r>
    <r>
      <rPr>
        <sz val="11"/>
        <color rgb="FF000000"/>
        <rFont val="맑은 고딕"/>
        <family val="3"/>
        <charset val="129"/>
      </rPr>
      <t xml:space="preserve">)(PET</t>
    </r>
    <r>
      <rPr>
        <sz val="11"/>
        <color rgb="FF000000"/>
        <rFont val="Noto Sans CJK SC"/>
        <family val="2"/>
      </rPr>
      <t xml:space="preserve">검사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급여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</si>
  <si>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간병인사용질병입원일당Ⅱ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요양병원</t>
    </r>
    <r>
      <rPr>
        <sz val="11"/>
        <color rgb="FF000000"/>
        <rFont val="맑은 고딕"/>
        <family val="3"/>
        <charset val="129"/>
      </rPr>
      <t xml:space="preserve">)(1</t>
    </r>
    <r>
      <rPr>
        <sz val="11"/>
        <color rgb="FF000000"/>
        <rFont val="Noto Sans CJK SC"/>
        <family val="2"/>
      </rPr>
      <t xml:space="preserve">일이상</t>
    </r>
    <r>
      <rPr>
        <sz val="11"/>
        <color rgb="FF000000"/>
        <rFont val="맑은 고딕"/>
        <family val="3"/>
        <charset val="129"/>
      </rPr>
      <t xml:space="preserve">180</t>
    </r>
    <r>
      <rPr>
        <sz val="11"/>
        <color rgb="FF000000"/>
        <rFont val="Noto Sans CJK SC"/>
        <family val="2"/>
      </rPr>
      <t xml:space="preserve">일한도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</si>
  <si>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DB%EC%86%90%EB%B3%B4%20%EB%82%98%EC%97%90%EA%B2%8C%EB%A7%9E%EC%B6%98%EA%B3%A0%EB%8B%B9%EC%A7%80%EA%B0%84%ED%8E%B8%EA%B1%B4%EA%B0%95%EB%B3%B4%ED%97%982605%20%28%EB%A7%9E%EC%B6%A4_%EA%B0%84%ED%8E%B8%EA%B3%A0%EC%A7%80%E2%85%A2%29%EA%B0%84%EB%B3%91%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</si>
  <si>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간병인사용상해입원일당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요양병원</t>
    </r>
    <r>
      <rPr>
        <sz val="11"/>
        <color rgb="FF000000"/>
        <rFont val="맑은 고딕"/>
        <family val="3"/>
        <charset val="129"/>
      </rPr>
      <t xml:space="preserve">)(1</t>
    </r>
    <r>
      <rPr>
        <sz val="11"/>
        <color rgb="FF000000"/>
        <rFont val="Noto Sans CJK SC"/>
        <family val="2"/>
      </rPr>
      <t xml:space="preserve">일이상</t>
    </r>
    <r>
      <rPr>
        <sz val="11"/>
        <color rgb="FF000000"/>
        <rFont val="맑은 고딕"/>
        <family val="3"/>
        <charset val="129"/>
      </rPr>
      <t xml:space="preserve">180</t>
    </r>
    <r>
      <rPr>
        <sz val="11"/>
        <color rgb="FF000000"/>
        <rFont val="Noto Sans CJK SC"/>
        <family val="2"/>
      </rPr>
      <t xml:space="preserve">일한도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</si>
  <si>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라이나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에이스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손보</t>
    </r>
  </si>
  <si>
    <t xml:space="preserve">화재벌금담보</t>
  </si>
  <si>
    <t xml:space="preserve">https://search.naver.com/search.naver?query=%EB%9D%BC%EC%9D%B4%EB%82%98%28%EC%97%90%EC%9D%B4%EC%8A%A4%29%EC%86%90%EB%B3%B4%20%EB%AC%B4%20%EC%9A%B0%EB%A6%AC%EC%A7%91%20%EB%AC%B4%EC%82%AC%EA%B3%A0%20%ED%95%A0%EC%9D%B8%EB%B3%B4%ED%97%98240%20%ED%99%94%EC%9E%AC%EB%B2%8C%EA%B8%88%EB%8B%B4%EB%B3%B4%20%EC%95%BD%EA%B4%80%20%EB%B3%B4%EC%9E%A5%EB%82%B4%EC%9A%A9</t>
  </si>
  <si>
    <t xml:space="preserve">교보생명</t>
  </si>
  <si>
    <r>
      <rPr>
        <sz val="11"/>
        <color rgb="FF000000"/>
        <rFont val="Noto Sans CJK SC"/>
        <family val="2"/>
      </rPr>
      <t xml:space="preserve">여성특화수술보장특약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간편</t>
    </r>
    <r>
      <rPr>
        <sz val="11"/>
        <color rgb="FF000000"/>
        <rFont val="맑은 고딕"/>
        <family val="3"/>
        <charset val="129"/>
      </rPr>
      <t xml:space="preserve">N355/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)[</t>
    </r>
    <r>
      <rPr>
        <sz val="11"/>
        <color rgb="FF000000"/>
        <rFont val="Noto Sans CJK SC"/>
        <family val="2"/>
      </rPr>
      <t xml:space="preserve">최초계약</t>
    </r>
    <r>
      <rPr>
        <sz val="11"/>
        <color rgb="FF000000"/>
        <rFont val="맑은 고딕"/>
        <family val="3"/>
        <charset val="129"/>
      </rPr>
      <t xml:space="preserve">]</t>
    </r>
  </si>
  <si>
    <t xml:space="preserve">https://search.naver.com/search.naver?query=%EA%B5%90%EB%B3%B4%EC%83%9D%EB%AA%85%20%EA%B5%90%EB%B3%B4%EA%B0%84%ED%8E%B8%EB%A7%88%EC%9D%B4%ED%94%8C%EB%9E%9C%EA%B1%B4%EA%B0%95%EB%B3%B4%ED%97%98%20%202411%20%EC%97%AC%EC%84%B1%ED%8A%B9%ED%99%94%EC%88%98%EC%88%A0%EB%B3%B4%EC%9E%A5%ED%8A%B9%EC%95%BD%28%EA%B0%84%20%EC%95%BD%EA%B4%80%20%EB%B3%B4%EC%9E%A5%EB%82%B4%EC%9A%A9</t>
  </si>
  <si>
    <t xml:space="preserve">신한라이프생명</t>
  </si>
  <si>
    <r>
      <rPr>
        <sz val="11"/>
        <color rgb="FF000000"/>
        <rFont val="Noto Sans CJK SC"/>
        <family val="2"/>
      </rPr>
      <t xml:space="preserve">암사망특약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무배당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</si>
  <si>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C%8B%A0%ED%95%9C%EB%9D%BC%EC%9D%B4%ED%94%84%EC%83%9D%EB%AA%85%20%EC%8B%A0%ED%95%9C%EC%BC%80%EC%96%B4%EB%B0%9B%EB%8A%94%EC%95%94%EB%B3%B4%ED%97%98%20%EB%AC%B4%EB%B0%B0%EB%8B%B9%2C%EA%B0%B1%EC%8B%A0%ED%98%95%20%EC%95%94%EC%82%AC%EB%A7%9D%ED%8A%B9%EC%95%BD%28%EB%AC%B4%EB%B0%B0%EB%8B%B9%2C%20%EA%B0%B1%20%EC%95%BD%EA%B4%80%20%EB%B3%B4%EC%9E%A5%EB%82%B4%EC%9A%A9</t>
  </si>
  <si>
    <r>
      <rPr>
        <sz val="11"/>
        <color rgb="FF000000"/>
        <rFont val="Noto Sans CJK SC"/>
        <family val="2"/>
      </rPr>
      <t xml:space="preserve">암직접치료상급종합병원통원특약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무배당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</si>
  <si>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C%8B%A0%ED%95%9C%EB%9D%BC%EC%9D%B4%ED%94%84%EC%83%9D%EB%AA%85%20%EC%8B%A0%ED%95%9C%EC%BC%80%EC%96%B4%EB%B0%9B%EB%8A%94%EC%95%94%EB%B3%B4%ED%97%98%20%EB%AC%B4%EB%B0%B0%EB%8B%B9%2C%EA%B0%B1%EC%8B%A0%ED%98%95%20%EC%95%94%EC%A7%81%EC%A0%91%EC%B9%98%EB%A3%8C%EC%83%81%EA%B8%89%EC%A2%85%ED%95%A9%EB%B3%91%EC%9B%90%ED%86%B5%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</si>
  <si>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AIA</t>
    </r>
    <r>
      <rPr>
        <sz val="11"/>
        <color rgb="FF000000"/>
        <rFont val="Noto Sans CJK SC"/>
        <family val="2"/>
      </rPr>
      <t xml:space="preserve">생명</t>
    </r>
  </si>
  <si>
    <t xml:space="preserve">３대질병암</t>
  </si>
  <si>
    <t xml:space="preserve">https://search.naver.com/search.naver?query=AIA%EC%83%9D%EB%AA%85%20%EB%AC%B4%20%ED%94%84%EB%9D%BC%EC%9E%84%ED%8F%89%EC%83%9D%EC%84%A4%EA%B3%84%EF%BC%92%ED%98%95%20%EF%BC%93%EB%8C%80%EC%A7%88%EB%B3%91%EC%95%94%20%EC%95%BD%EA%B4%80%20%EB%B3%B4%EC%9E%A5%EB%82%B4%EC%9A%A9</t>
  </si>
  <si>
    <t xml:space="preserve">질병종수술</t>
  </si>
  <si>
    <t xml:space="preserve">https://search.naver.com/search.naver?query=AIA%EC%83%9D%EB%AA%85%20%EB%AC%B4%20%ED%94%84%EB%9D%BC%EC%9E%84%ED%8F%89%EC%83%9D%EC%84%A4%EA%B3%84%EF%BC%92%ED%98%95%20%EC%A7%88%EB%B3%91%EC%A2%85%EC%88%98%EC%88%A0%20%EC%95%BD%EA%B4%80%20%EB%B3%B4%EC%9E%A5%EB%82%B4%EC%9A%A9</t>
  </si>
  <si>
    <t xml:space="preserve">상해종수술</t>
  </si>
  <si>
    <t xml:space="preserve">https://search.naver.com/search.naver?query=AIA%EC%83%9D%EB%AA%85%20%EB%AC%B4%20%ED%94%84%EB%9D%BC%EC%9E%84%ED%8F%89%EC%83%9D%EC%84%A4%EA%B3%84%EF%BC%92%ED%98%95%20%EC%83%81%ED%95%B4%EC%A2%85%EC%88%98%EC%88%A0%20%EC%95%BD%EA%B4%80%20%EB%B3%B4%EC%9E%A5%EB%82%B4%EC%9A%A9</t>
  </si>
  <si>
    <t xml:space="preserve">질병입원</t>
  </si>
  <si>
    <t xml:space="preserve">https://search.naver.com/search.naver?query=AIA%EC%83%9D%EB%AA%85%20%EB%AC%B4%20%ED%94%84%EB%9D%BC%EC%9E%84%ED%8F%89%EC%83%9D%EC%84%A4%EA%B3%84%EF%BC%92%ED%98%95%20%EC%A7%88%EB%B3%91%EC%9E%85%EC%9B%90%20%EC%95%BD%EA%B4%80%20%EB%B3%B4%EC%9E%A5%EB%82%B4%EC%9A%A9</t>
  </si>
  <si>
    <t xml:space="preserve">재해입원</t>
  </si>
  <si>
    <t xml:space="preserve">https://search.naver.com/search.naver?query=AIA%EC%83%9D%EB%AA%85%20%EB%AC%B4%20%ED%94%84%EB%9D%BC%EC%9E%84%ED%8F%89%EC%83%9D%EC%84%A4%EA%B3%84%EF%BC%92%ED%98%95%20%EC%9E%AC%ED%95%B4%EC%9E%85%EC%9B%90%20%EC%95%BD%EA%B4%80%20%EB%B3%B4%EC%9E%A5%EB%82%B4%EC%9A%A9</t>
  </si>
  <si>
    <t xml:space="preserve">동양생명</t>
  </si>
  <si>
    <r>
      <rPr>
        <sz val="11"/>
        <color rgb="FF000000"/>
        <rFont val="맑은 고딕"/>
        <family val="3"/>
        <charset val="129"/>
      </rPr>
      <t xml:space="preserve">[29] </t>
    </r>
    <r>
      <rPr>
        <sz val="11"/>
        <color rgb="FF000000"/>
        <rFont val="Noto Sans CJK SC"/>
        <family val="2"/>
      </rPr>
      <t xml:space="preserve">암통원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암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소액암제외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통원특약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Noto Sans CJK SC"/>
        <family val="2"/>
      </rPr>
      <t xml:space="preserve">간편심사형</t>
    </r>
    <r>
      <rPr>
        <sz val="11"/>
        <color rgb="FF000000"/>
        <rFont val="맑은 고딕"/>
        <family val="3"/>
        <charset val="129"/>
      </rPr>
      <t xml:space="preserve">(5) </t>
    </r>
    <r>
      <rPr>
        <sz val="11"/>
        <color rgb="FF000000"/>
        <rFont val="Noto Sans CJK SC"/>
        <family val="2"/>
      </rPr>
      <t xml:space="preserve">해약환급금미지급형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최</t>
    </r>
    <r>
      <rPr>
        <sz val="11"/>
        <color rgb="FF000000"/>
        <rFont val="맑은 고딕"/>
        <family val="3"/>
        <charset val="129"/>
      </rPr>
      <t xml:space="preserve">...</t>
    </r>
  </si>
  <si>
    <t xml:space="preserve">https://search.naver.com/search.naver?query=%EB%8F%99%EC%96%91%EC%83%9D%EB%AA%85%20%EB%AC%B4%20%EC%88%98%ED%98%B8%EC%B2%9C%EC%82%AC%EC%95%94%EC%B9%98%EB%A3%8C%EB%8A%94%EB%8F%99%EC%96%91%EC%83%9D%EB%AA%85%EB%B3%B4%ED%97%98%20%5B29%5D%20%EC%95%94%ED%86%B5%EC%9B%90_%28%EB%AC%B4%29%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</si>
  <si>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실손 세대 판정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가입일 </t>
    </r>
    <r>
      <rPr>
        <sz val="11"/>
        <color rgb="FF000000"/>
        <rFont val="맑은 고딕"/>
        <family val="3"/>
        <charset val="129"/>
      </rPr>
      <t xml:space="preserve">vs </t>
    </r>
    <r>
      <rPr>
        <sz val="11"/>
        <color rgb="FF000000"/>
        <rFont val="Noto Sans CJK SC"/>
        <family val="2"/>
      </rPr>
      <t xml:space="preserve">상품코드 — 상품코드 우선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</si>
  <si>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가입일</t>
  </si>
  <si>
    <r>
      <rPr>
        <sz val="11"/>
        <color rgb="FF000000"/>
        <rFont val="Noto Sans CJK SC"/>
        <family val="2"/>
      </rPr>
      <t xml:space="preserve">상품코드</t>
    </r>
    <r>
      <rPr>
        <sz val="11"/>
        <color rgb="FF000000"/>
        <rFont val="맑은 고딕"/>
        <family val="3"/>
        <charset val="129"/>
      </rPr>
      <t xml:space="preserve">(YYMM)</t>
    </r>
  </si>
  <si>
    <t xml:space="preserve">판정</t>
  </si>
  <si>
    <t xml:space="preserve">1404</t>
  </si>
  <si>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세대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</si>
  <si>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심장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</si>
  <si>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t xml:space="preserve">별첨 원 담보명</t>
  </si>
  <si>
    <t xml:space="preserve">기재 행</t>
  </si>
  <si>
    <r>
      <rPr>
        <sz val="11"/>
        <color rgb="FF000000"/>
        <rFont val="맑은 고딕"/>
        <family val="3"/>
        <charset val="129"/>
      </rPr>
      <t xml:space="preserve">KB</t>
    </r>
    <r>
      <rPr>
        <sz val="11"/>
        <color rgb="FF000000"/>
        <rFont val="Noto Sans CJK SC"/>
        <family val="2"/>
      </rPr>
      <t xml:space="preserve">손보</t>
    </r>
  </si>
  <si>
    <r>
      <rPr>
        <sz val="11"/>
        <color rgb="FF000000"/>
        <rFont val="Noto Sans CJK SC"/>
        <family val="2"/>
      </rPr>
      <t xml:space="preserve">심장질환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특정Ⅱ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진단비Ⅲ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간편가입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</si>
  <si>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허혈성심장질환진단비Ⅲ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간편가입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</si>
  <si>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부정맥질환</t>
    </r>
    <r>
      <rPr>
        <sz val="11"/>
        <color rgb="FF000000"/>
        <rFont val="맑은 고딕"/>
        <family val="3"/>
        <charset val="129"/>
      </rPr>
      <t xml:space="preserve">(Ⅰ49)</t>
    </r>
    <r>
      <rPr>
        <sz val="11"/>
        <color rgb="FF000000"/>
        <rFont val="Noto Sans CJK SC"/>
        <family val="2"/>
      </rPr>
      <t xml:space="preserve">진단비Ⅲ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간편가입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</si>
  <si>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신특정순환계질환 주요치료비Ⅲ</t>
    </r>
    <r>
      <rPr>
        <sz val="11"/>
        <color rgb="FF000000"/>
        <rFont val="맑은 고딕"/>
        <family val="3"/>
        <charset val="129"/>
      </rPr>
      <t xml:space="preserve">Plus(</t>
    </r>
    <r>
      <rPr>
        <sz val="11"/>
        <color rgb="FF000000"/>
        <rFont val="Noto Sans CJK SC"/>
        <family val="2"/>
      </rPr>
      <t xml:space="preserve">간편가입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</si>
  <si>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대 주요치료비</t>
    </r>
  </si>
  <si>
    <r>
      <rPr>
        <sz val="11"/>
        <color rgb="FF000000"/>
        <rFont val="Noto Sans CJK SC"/>
        <family val="2"/>
      </rPr>
      <t xml:space="preserve">협심증</t>
    </r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심장묶음</t>
    </r>
    <r>
      <rPr>
        <sz val="11"/>
        <color rgb="FF000000"/>
        <rFont val="맑은 고딕"/>
        <family val="3"/>
        <charset val="129"/>
      </rPr>
      <t xml:space="preserve">]</t>
    </r>
  </si>
  <si>
    <r>
      <rPr>
        <sz val="11"/>
        <color rgb="FF000000"/>
        <rFont val="Noto Sans CJK SC"/>
        <family val="2"/>
      </rPr>
      <t xml:space="preserve">빈맥</t>
    </r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심장묶음</t>
    </r>
    <r>
      <rPr>
        <sz val="11"/>
        <color rgb="FF000000"/>
        <rFont val="맑은 고딕"/>
        <family val="3"/>
        <charset val="129"/>
      </rPr>
      <t xml:space="preserve">]</t>
    </r>
  </si>
  <si>
    <r>
      <rPr>
        <sz val="11"/>
        <color rgb="FF000000"/>
        <rFont val="Noto Sans CJK SC"/>
        <family val="2"/>
      </rPr>
      <t xml:space="preserve">심부전</t>
    </r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심장묶음</t>
    </r>
    <r>
      <rPr>
        <sz val="11"/>
        <color rgb="FF000000"/>
        <rFont val="맑은 고딕"/>
        <family val="3"/>
        <charset val="129"/>
      </rPr>
      <t xml:space="preserve">]</t>
    </r>
  </si>
  <si>
    <r>
      <rPr>
        <sz val="11"/>
        <color rgb="FF000000"/>
        <rFont val="Noto Sans CJK SC"/>
        <family val="2"/>
      </rPr>
      <t xml:space="preserve">주요심장염증</t>
    </r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심장묶음</t>
    </r>
    <r>
      <rPr>
        <sz val="11"/>
        <color rgb="FF000000"/>
        <rFont val="맑은 고딕"/>
        <family val="3"/>
        <charset val="129"/>
      </rPr>
      <t xml:space="preserve">]</t>
    </r>
  </si>
  <si>
    <r>
      <rPr>
        <sz val="11"/>
        <color rgb="FF000000"/>
        <rFont val="맑은 고딕"/>
        <family val="3"/>
        <charset val="129"/>
      </rPr>
      <t xml:space="preserve">(20</t>
    </r>
    <r>
      <rPr>
        <sz val="11"/>
        <color rgb="FF000000"/>
        <rFont val="Noto Sans CJK SC"/>
        <family val="2"/>
      </rPr>
      <t xml:space="preserve">년갱신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갱신형 중증질환자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심장질환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Noto Sans CJK SC"/>
        <family val="2"/>
      </rPr>
      <t xml:space="preserve">산정특례대상 진단비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)(355</t>
    </r>
    <r>
      <rPr>
        <sz val="11"/>
        <color rgb="FF000000"/>
        <rFont val="Noto Sans CJK SC"/>
        <family val="2"/>
      </rPr>
      <t xml:space="preserve">간편가입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</si>
  <si>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급성심근경색증진단비</t>
  </si>
  <si>
    <r>
      <rPr>
        <sz val="11"/>
        <color rgb="FF000000"/>
        <rFont val="Noto Sans CJK SC"/>
        <family val="2"/>
      </rPr>
      <t xml:space="preserve">혈전용해치료보장특약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간편</t>
    </r>
    <r>
      <rPr>
        <sz val="11"/>
        <color rgb="FF000000"/>
        <rFont val="맑은 고딕"/>
        <family val="3"/>
        <charset val="129"/>
      </rPr>
      <t xml:space="preserve">N355)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</si>
  <si>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기본</t>
    </r>
    <r>
      <rPr>
        <sz val="11"/>
        <color rgb="FF000000"/>
        <rFont val="맑은 고딕"/>
        <family val="3"/>
        <charset val="129"/>
      </rPr>
      <t xml:space="preserve">]</t>
    </r>
    <r>
      <rPr>
        <sz val="11"/>
        <color rgb="FF000000"/>
        <rFont val="Noto Sans CJK SC"/>
        <family val="2"/>
      </rPr>
      <t xml:space="preserve">허혈심장질환진단특약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무배당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</si>
  <si>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수술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</si>
  <si>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r>
      <rPr>
        <sz val="11"/>
        <color rgb="FF000000"/>
        <rFont val="Noto Sans CJK SC"/>
        <family val="2"/>
      </rPr>
      <t xml:space="preserve">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</si>
  <si>
    <r>
      <rPr>
        <sz val="11"/>
        <color rgb="FF000000"/>
        <rFont val="Noto Sans CJK SC"/>
        <family val="2"/>
      </rPr>
      <t xml:space="preserve">상해입원수술비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당일입원제외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</si>
  <si>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상해수술비</t>
    </r>
    <r>
      <rPr>
        <sz val="11"/>
        <color rgb="FF000000"/>
        <rFont val="맑은 고딕"/>
        <family val="3"/>
        <charset val="129"/>
      </rPr>
      <t xml:space="preserve">(1~5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매회</t>
    </r>
    <r>
      <rPr>
        <sz val="11"/>
        <color rgb="FF000000"/>
        <rFont val="맑은 고딕"/>
        <family val="3"/>
        <charset val="129"/>
      </rPr>
      <t xml:space="preserve">)(1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</si>
  <si>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1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</si>
  <si>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상해수술비</t>
    </r>
    <r>
      <rPr>
        <sz val="11"/>
        <color rgb="FF000000"/>
        <rFont val="맑은 고딕"/>
        <family val="3"/>
        <charset val="129"/>
      </rPr>
      <t xml:space="preserve">(1~5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매회</t>
    </r>
    <r>
      <rPr>
        <sz val="11"/>
        <color rgb="FF000000"/>
        <rFont val="맑은 고딕"/>
        <family val="3"/>
        <charset val="129"/>
      </rPr>
      <t xml:space="preserve">)(2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</si>
  <si>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2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</si>
  <si>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상해수술비</t>
    </r>
    <r>
      <rPr>
        <sz val="11"/>
        <color rgb="FF000000"/>
        <rFont val="맑은 고딕"/>
        <family val="3"/>
        <charset val="129"/>
      </rPr>
      <t xml:space="preserve">(1~5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매회</t>
    </r>
    <r>
      <rPr>
        <sz val="11"/>
        <color rgb="FF000000"/>
        <rFont val="맑은 고딕"/>
        <family val="3"/>
        <charset val="129"/>
      </rPr>
      <t xml:space="preserve">)(3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</si>
  <si>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3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</si>
  <si>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상해수술비</t>
    </r>
    <r>
      <rPr>
        <sz val="11"/>
        <color rgb="FF000000"/>
        <rFont val="맑은 고딕"/>
        <family val="3"/>
        <charset val="129"/>
      </rPr>
      <t xml:space="preserve">(1~5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매회</t>
    </r>
    <r>
      <rPr>
        <sz val="11"/>
        <color rgb="FF000000"/>
        <rFont val="맑은 고딕"/>
        <family val="3"/>
        <charset val="129"/>
      </rPr>
      <t xml:space="preserve">)(4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</si>
  <si>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4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</si>
  <si>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상해수술비</t>
    </r>
    <r>
      <rPr>
        <sz val="11"/>
        <color rgb="FF000000"/>
        <rFont val="맑은 고딕"/>
        <family val="3"/>
        <charset val="129"/>
      </rPr>
      <t xml:space="preserve">(1~5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매회</t>
    </r>
    <r>
      <rPr>
        <sz val="11"/>
        <color rgb="FF000000"/>
        <rFont val="맑은 고딕"/>
        <family val="3"/>
        <charset val="129"/>
      </rPr>
      <t xml:space="preserve">)(5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</si>
  <si>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5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</si>
  <si>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맑은 고딕"/>
        <family val="3"/>
        <charset val="129"/>
      </rPr>
      <t xml:space="preserve">16</t>
    </r>
    <r>
      <rPr>
        <sz val="11"/>
        <color rgb="FF000000"/>
        <rFont val="Noto Sans CJK SC"/>
        <family val="2"/>
      </rPr>
      <t xml:space="preserve">대특정질병수술비</t>
    </r>
  </si>
  <si>
    <r>
      <rPr>
        <sz val="11"/>
        <color rgb="FF000000"/>
        <rFont val="맑은 고딕"/>
        <family val="3"/>
        <charset val="129"/>
      </rPr>
      <t xml:space="preserve">n</t>
    </r>
    <r>
      <rPr>
        <sz val="11"/>
        <color rgb="FF000000"/>
        <rFont val="Noto Sans CJK SC"/>
        <family val="2"/>
      </rPr>
      <t xml:space="preserve">대수술비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</si>
  <si>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질병수술비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매회지급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</si>
  <si>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질병통합치료비Ⅱ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실속형</t>
    </r>
    <r>
      <rPr>
        <sz val="11"/>
        <color rgb="FF000000"/>
        <rFont val="맑은 고딕"/>
        <family val="3"/>
        <charset val="129"/>
      </rPr>
      <t xml:space="preserve">)(1</t>
    </r>
    <r>
      <rPr>
        <sz val="11"/>
        <color rgb="FF000000"/>
        <rFont val="Noto Sans CJK SC"/>
        <family val="2"/>
      </rPr>
      <t xml:space="preserve">종수술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동일질병당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</si>
  <si>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질병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1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</si>
  <si>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질병통합치료비Ⅱ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실속형</t>
    </r>
    <r>
      <rPr>
        <sz val="11"/>
        <color rgb="FF000000"/>
        <rFont val="맑은 고딕"/>
        <family val="3"/>
        <charset val="129"/>
      </rPr>
      <t xml:space="preserve">)(2</t>
    </r>
    <r>
      <rPr>
        <sz val="11"/>
        <color rgb="FF000000"/>
        <rFont val="Noto Sans CJK SC"/>
        <family val="2"/>
      </rPr>
      <t xml:space="preserve">종수술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동일질병당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</si>
  <si>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질병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2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</si>
  <si>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질병통합치료비Ⅱ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실속형</t>
    </r>
    <r>
      <rPr>
        <sz val="11"/>
        <color rgb="FF000000"/>
        <rFont val="맑은 고딕"/>
        <family val="3"/>
        <charset val="129"/>
      </rPr>
      <t xml:space="preserve">)(3</t>
    </r>
    <r>
      <rPr>
        <sz val="11"/>
        <color rgb="FF000000"/>
        <rFont val="Noto Sans CJK SC"/>
        <family val="2"/>
      </rPr>
      <t xml:space="preserve">종수술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동일질병당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</si>
  <si>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질병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3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</si>
  <si>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질병통합치료비Ⅱ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실속형</t>
    </r>
    <r>
      <rPr>
        <sz val="11"/>
        <color rgb="FF000000"/>
        <rFont val="맑은 고딕"/>
        <family val="3"/>
        <charset val="129"/>
      </rPr>
      <t xml:space="preserve">)(4</t>
    </r>
    <r>
      <rPr>
        <sz val="11"/>
        <color rgb="FF000000"/>
        <rFont val="Noto Sans CJK SC"/>
        <family val="2"/>
      </rPr>
      <t xml:space="preserve">종수술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동일질병당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</si>
  <si>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질병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4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</si>
  <si>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질병통합치료비Ⅱ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실속형</t>
    </r>
    <r>
      <rPr>
        <sz val="11"/>
        <color rgb="FF000000"/>
        <rFont val="맑은 고딕"/>
        <family val="3"/>
        <charset val="129"/>
      </rPr>
      <t xml:space="preserve">)(5</t>
    </r>
    <r>
      <rPr>
        <sz val="11"/>
        <color rgb="FF000000"/>
        <rFont val="Noto Sans CJK SC"/>
        <family val="2"/>
      </rPr>
      <t xml:space="preserve">종수술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동일질병당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</si>
  <si>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질병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5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</si>
  <si>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암주요치료비Ⅲ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종합병원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수술시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유사암제외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매회지급</t>
    </r>
  </si>
  <si>
    <r>
      <rPr>
        <sz val="11"/>
        <color rgb="FF000000"/>
        <rFont val="Noto Sans CJK SC"/>
        <family val="2"/>
      </rPr>
      <t xml:space="preserve">암다빈치로봇수술특약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간편</t>
    </r>
    <r>
      <rPr>
        <sz val="11"/>
        <color rgb="FF000000"/>
        <rFont val="맑은 고딕"/>
        <family val="3"/>
        <charset val="129"/>
      </rPr>
      <t xml:space="preserve">N355/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)[</t>
    </r>
    <r>
      <rPr>
        <sz val="11"/>
        <color rgb="FF000000"/>
        <rFont val="Noto Sans CJK SC"/>
        <family val="2"/>
      </rPr>
      <t xml:space="preserve">최초계약</t>
    </r>
    <r>
      <rPr>
        <sz val="11"/>
        <color rgb="FF000000"/>
        <rFont val="맑은 고딕"/>
        <family val="3"/>
        <charset val="129"/>
      </rPr>
      <t xml:space="preserve">]</t>
    </r>
  </si>
  <si>
    <r>
      <rPr>
        <sz val="11"/>
        <color rgb="FF000000"/>
        <rFont val="Noto Sans CJK SC"/>
        <family val="2"/>
      </rPr>
      <t xml:space="preserve">암다빈치로봇수술특약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갑상선암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전립선암제외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간편</t>
    </r>
    <r>
      <rPr>
        <sz val="11"/>
        <color rgb="FF000000"/>
        <rFont val="맑은 고딕"/>
        <family val="3"/>
        <charset val="129"/>
      </rPr>
      <t xml:space="preserve">N355/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)[</t>
    </r>
    <r>
      <rPr>
        <sz val="11"/>
        <color rgb="FF000000"/>
        <rFont val="Noto Sans CJK SC"/>
        <family val="2"/>
      </rPr>
      <t xml:space="preserve">최초계약</t>
    </r>
    <r>
      <rPr>
        <sz val="11"/>
        <color rgb="FF000000"/>
        <rFont val="맑은 고딕"/>
        <family val="3"/>
        <charset val="129"/>
      </rPr>
      <t xml:space="preserve">]</t>
    </r>
  </si>
  <si>
    <t xml:space="preserve">소액암수술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</si>
  <si>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암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</si>
  <si>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r>
      <rPr>
        <sz val="11"/>
        <color rgb="FF000000"/>
        <rFont val="Noto Sans CJK SC"/>
        <family val="2"/>
      </rPr>
      <t xml:space="preserve">갱신형 암종별</t>
    </r>
    <r>
      <rPr>
        <sz val="11"/>
        <color rgb="FF000000"/>
        <rFont val="맑은 고딕"/>
        <family val="3"/>
        <charset val="129"/>
      </rPr>
      <t xml:space="preserve">(30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통합암진단비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유사암제외</t>
    </r>
    <r>
      <rPr>
        <sz val="11"/>
        <color rgb="FF000000"/>
        <rFont val="맑은 고딕"/>
        <family val="3"/>
        <charset val="129"/>
      </rPr>
      <t xml:space="preserve">)(355</t>
    </r>
    <r>
      <rPr>
        <sz val="11"/>
        <color rgb="FF000000"/>
        <rFont val="Noto Sans CJK SC"/>
        <family val="2"/>
      </rPr>
      <t xml:space="preserve">간편가입</t>
    </r>
    <r>
      <rPr>
        <sz val="11"/>
        <color rgb="FF000000"/>
        <rFont val="맑은 고딕"/>
        <family val="3"/>
        <charset val="129"/>
      </rPr>
      <t xml:space="preserve">)[</t>
    </r>
    <r>
      <rPr>
        <sz val="11"/>
        <color rgb="FF000000"/>
        <rFont val="Noto Sans CJK SC"/>
        <family val="2"/>
      </rPr>
      <t xml:space="preserve">기본계약</t>
    </r>
    <r>
      <rPr>
        <sz val="11"/>
        <color rgb="FF000000"/>
        <rFont val="맑은 고딕"/>
        <family val="3"/>
        <charset val="129"/>
      </rPr>
      <t xml:space="preserve">]</t>
    </r>
  </si>
  <si>
    <r>
      <rPr>
        <sz val="11"/>
        <color rgb="FF000000"/>
        <rFont val="Noto Sans CJK SC"/>
        <family val="2"/>
      </rPr>
      <t xml:space="preserve">갱신형 유사암진단비</t>
    </r>
    <r>
      <rPr>
        <sz val="11"/>
        <color rgb="FF000000"/>
        <rFont val="맑은 고딕"/>
        <family val="3"/>
        <charset val="129"/>
      </rPr>
      <t xml:space="preserve">(355</t>
    </r>
    <r>
      <rPr>
        <sz val="11"/>
        <color rgb="FF000000"/>
        <rFont val="Noto Sans CJK SC"/>
        <family val="2"/>
      </rPr>
      <t xml:space="preserve">간편가입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</si>
  <si>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유사암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갑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기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경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제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</si>
  <si>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갱신형 종합병원 암 주요치료비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본인부담금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천만원이상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 5</t>
    </r>
    <r>
      <rPr>
        <sz val="11"/>
        <color rgb="FF000000"/>
        <rFont val="Noto Sans CJK SC"/>
        <family val="2"/>
      </rPr>
      <t xml:space="preserve">년간</t>
    </r>
    <r>
      <rPr>
        <sz val="11"/>
        <color rgb="FF000000"/>
        <rFont val="맑은 고딕"/>
        <family val="3"/>
        <charset val="129"/>
      </rPr>
      <t xml:space="preserve">)(355</t>
    </r>
    <r>
      <rPr>
        <sz val="11"/>
        <color rgb="FF000000"/>
        <rFont val="Noto Sans CJK SC"/>
        <family val="2"/>
      </rPr>
      <t xml:space="preserve">간편가입</t>
    </r>
    <r>
      <rPr>
        <sz val="11"/>
        <color rgb="FF000000"/>
        <rFont val="맑은 고딕"/>
        <family val="3"/>
        <charset val="129"/>
      </rPr>
      <t xml:space="preserve">...</t>
    </r>
  </si>
  <si>
    <r>
      <rPr>
        <sz val="11"/>
        <color rgb="FF000000"/>
        <rFont val="Noto Sans CJK SC"/>
        <family val="2"/>
      </rPr>
      <t xml:space="preserve">갱신형 암 주요치료비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 5</t>
    </r>
    <r>
      <rPr>
        <sz val="11"/>
        <color rgb="FF000000"/>
        <rFont val="Noto Sans CJK SC"/>
        <family val="2"/>
      </rPr>
      <t xml:space="preserve">년간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기타피부암 및 갑상선암</t>
    </r>
    <r>
      <rPr>
        <sz val="11"/>
        <color rgb="FF000000"/>
        <rFont val="맑은 고딕"/>
        <family val="3"/>
        <charset val="129"/>
      </rPr>
      <t xml:space="preserve">)(355</t>
    </r>
    <r>
      <rPr>
        <sz val="11"/>
        <color rgb="FF000000"/>
        <rFont val="Noto Sans CJK SC"/>
        <family val="2"/>
      </rPr>
      <t xml:space="preserve">간편가입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</si>
  <si>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갱신형 암 주요치료비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 5</t>
    </r>
    <r>
      <rPr>
        <sz val="11"/>
        <color rgb="FF000000"/>
        <rFont val="Noto Sans CJK SC"/>
        <family val="2"/>
      </rPr>
      <t xml:space="preserve">년간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암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유사암제외</t>
    </r>
    <r>
      <rPr>
        <sz val="11"/>
        <color rgb="FF000000"/>
        <rFont val="맑은 고딕"/>
        <family val="3"/>
        <charset val="129"/>
      </rPr>
      <t xml:space="preserve">))(355</t>
    </r>
    <r>
      <rPr>
        <sz val="11"/>
        <color rgb="FF000000"/>
        <rFont val="Noto Sans CJK SC"/>
        <family val="2"/>
      </rPr>
      <t xml:space="preserve">간편가입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</si>
  <si>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한화손보</t>
  </si>
  <si>
    <t xml:space="preserve">암진단비</t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</si>
  <si>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암진단비Ⅱ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유사암제외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</si>
  <si>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통합유사암진단비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</si>
  <si>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비급여암주요치료비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전액본인부담포함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8</t>
    </r>
    <r>
      <rPr>
        <sz val="11"/>
        <color rgb="FF000000"/>
        <rFont val="Noto Sans CJK SC"/>
        <family val="2"/>
      </rPr>
      <t xml:space="preserve">천만원한도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</si>
  <si>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암주요치료비Ⅲ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종합병원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중환자실입원시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유사암제외</t>
    </r>
    <r>
      <rPr>
        <sz val="11"/>
        <color rgb="FF000000"/>
        <rFont val="맑은 고딕"/>
        <family val="3"/>
        <charset val="129"/>
      </rPr>
      <t xml:space="preserve">)(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</si>
  <si>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암주요치료비Ⅲ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종합병원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항암약물치료시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유사암제외</t>
    </r>
    <r>
      <rPr>
        <sz val="11"/>
        <color rgb="FF000000"/>
        <rFont val="맑은 고딕"/>
        <family val="3"/>
        <charset val="129"/>
      </rPr>
      <t xml:space="preserve">)(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</si>
  <si>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통합전이암진단비Ⅱ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위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식도전이암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</si>
  <si>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통합전이암진단비Ⅱ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간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담낭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담도및췌장전이암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</si>
  <si>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통합전이암진단비Ⅱ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골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피부등전신부위전이암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</si>
  <si>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통합전이암진단비Ⅱ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뇌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중추신경계통전이암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</si>
  <si>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통합전이암진단비Ⅱ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소장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대장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항문및기타전이암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</si>
  <si>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통합전이암진단비Ⅱ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여성생식기전이암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</si>
  <si>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통합전이암진단비Ⅱ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유방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비뇨기관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부신및내분비선전이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</si>
  <si>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맞춤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간편고지Ⅲ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통합전이암진단비Ⅱ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흉곽내기관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중피성및연조직전이암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</si>
  <si>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암진단특약</t>
    </r>
    <r>
      <rPr>
        <sz val="11"/>
        <color rgb="FF000000"/>
        <rFont val="맑은 고딕"/>
        <family val="3"/>
        <charset val="129"/>
      </rPr>
      <t xml:space="preserve">L(</t>
    </r>
    <r>
      <rPr>
        <sz val="11"/>
        <color rgb="FF000000"/>
        <rFont val="Noto Sans CJK SC"/>
        <family val="2"/>
      </rPr>
      <t xml:space="preserve">무해약환급금형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간편</t>
    </r>
    <r>
      <rPr>
        <sz val="11"/>
        <color rgb="FF000000"/>
        <rFont val="맑은 고딕"/>
        <family val="3"/>
        <charset val="129"/>
      </rPr>
      <t xml:space="preserve">N355)</t>
    </r>
  </si>
  <si>
    <r>
      <rPr>
        <sz val="11"/>
        <color rgb="FF000000"/>
        <rFont val="Noto Sans CJK SC"/>
        <family val="2"/>
      </rPr>
      <t xml:space="preserve">소액암진단특약</t>
    </r>
    <r>
      <rPr>
        <sz val="11"/>
        <color rgb="FF000000"/>
        <rFont val="맑은 고딕"/>
        <family val="3"/>
        <charset val="129"/>
      </rPr>
      <t xml:space="preserve">L(</t>
    </r>
    <r>
      <rPr>
        <sz val="11"/>
        <color rgb="FF000000"/>
        <rFont val="Noto Sans CJK SC"/>
        <family val="2"/>
      </rPr>
      <t xml:space="preserve">무해약환급금형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간편</t>
    </r>
    <r>
      <rPr>
        <sz val="11"/>
        <color rgb="FF000000"/>
        <rFont val="맑은 고딕"/>
        <family val="3"/>
        <charset val="129"/>
      </rPr>
      <t xml:space="preserve">N355)</t>
    </r>
  </si>
  <si>
    <t xml:space="preserve">암진단</t>
  </si>
  <si>
    <r>
      <rPr>
        <sz val="11"/>
        <color rgb="FF000000"/>
        <rFont val="Noto Sans CJK SC"/>
        <family val="2"/>
      </rPr>
      <t xml:space="preserve">소액암진단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유사암진단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</si>
  <si>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특정암진단</t>
  </si>
  <si>
    <t xml:space="preserve">일반암진단</t>
  </si>
  <si>
    <t xml:space="preserve">소액암입원</t>
  </si>
  <si>
    <t xml:space="preserve">암입원</t>
  </si>
  <si>
    <r>
      <rPr>
        <sz val="11"/>
        <color rgb="FF000000"/>
        <rFont val="맑은 고딕"/>
        <family val="3"/>
        <charset val="129"/>
      </rPr>
      <t xml:space="preserve">[A27] </t>
    </r>
    <r>
      <rPr>
        <sz val="11"/>
        <color rgb="FF000000"/>
        <rFont val="Noto Sans CJK SC"/>
        <family val="2"/>
      </rPr>
      <t xml:space="preserve">암주요치료비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비례보상</t>
    </r>
    <r>
      <rPr>
        <sz val="11"/>
        <color rgb="FF000000"/>
        <rFont val="맑은 고딕"/>
        <family val="3"/>
        <charset val="129"/>
      </rPr>
      <t xml:space="preserve">)_(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종합병원암통합치료비보장특약Ⅱ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Noto Sans CJK SC"/>
        <family val="2"/>
      </rPr>
      <t xml:space="preserve">간편심사형</t>
    </r>
    <r>
      <rPr>
        <sz val="11"/>
        <color rgb="FF000000"/>
        <rFont val="맑은 고딕"/>
        <family val="3"/>
        <charset val="129"/>
      </rPr>
      <t xml:space="preserve">(5...</t>
    </r>
  </si>
  <si>
    <r>
      <rPr>
        <sz val="11"/>
        <color rgb="FF000000"/>
        <rFont val="맑은 고딕"/>
        <family val="3"/>
        <charset val="129"/>
      </rPr>
      <t xml:space="preserve">[A06] </t>
    </r>
    <r>
      <rPr>
        <sz val="11"/>
        <color rgb="FF000000"/>
        <rFont val="Noto Sans CJK SC"/>
        <family val="2"/>
      </rPr>
      <t xml:space="preserve">암통원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소액암</t>
    </r>
    <r>
      <rPr>
        <sz val="11"/>
        <color rgb="FF000000"/>
        <rFont val="맑은 고딕"/>
        <family val="3"/>
        <charset val="129"/>
      </rPr>
      <t xml:space="preserve">)_</t>
    </r>
    <r>
      <rPr>
        <sz val="11"/>
        <color rgb="FF000000"/>
        <rFont val="Noto Sans CJK SC"/>
        <family val="2"/>
      </rPr>
      <t xml:space="preserve">주계약</t>
    </r>
  </si>
  <si>
    <t xml:space="preserve">std</t>
  </si>
  <si>
    <t xml:space="preserve">raw</t>
  </si>
  <si>
    <t xml:space="preserve">amt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</si>
  <si>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뇌혈관 축 판별불가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세부가입현황 미파싱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Noto Sans CJK SC"/>
        <family val="2"/>
      </rPr>
      <t xml:space="preserve">뇌혈관진단</t>
    </r>
  </si>
  <si>
    <t xml:space="preserve">３대질병뇌졸중</t>
  </si>
  <si>
    <r>
      <rPr>
        <sz val="11"/>
        <color rgb="FF000000"/>
        <rFont val="Noto Sans CJK SC"/>
        <family val="2"/>
      </rPr>
      <t xml:space="preserve">중증질환자</t>
    </r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뇌혈관및심장질환</t>
    </r>
    <r>
      <rPr>
        <sz val="11"/>
        <color rgb="FF000000"/>
        <rFont val="맑은 고딕"/>
        <family val="3"/>
        <charset val="129"/>
      </rPr>
      <t xml:space="preserve">]</t>
    </r>
    <r>
      <rPr>
        <sz val="11"/>
        <color rgb="FF000000"/>
        <rFont val="Noto Sans CJK SC"/>
        <family val="2"/>
      </rPr>
      <t xml:space="preserve">산정특례대상보장특약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간편</t>
    </r>
    <r>
      <rPr>
        <sz val="11"/>
        <color rgb="FF000000"/>
        <rFont val="맑은 고딕"/>
        <family val="3"/>
        <charset val="129"/>
      </rPr>
      <t xml:space="preserve">N355/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)[</t>
    </r>
    <r>
      <rPr>
        <sz val="11"/>
        <color rgb="FF000000"/>
        <rFont val="Noto Sans CJK SC"/>
        <family val="2"/>
      </rPr>
      <t xml:space="preserve">최초계약</t>
    </r>
    <r>
      <rPr>
        <sz val="11"/>
        <color rgb="FF000000"/>
        <rFont val="맑은 고딕"/>
        <family val="3"/>
        <charset val="129"/>
      </rPr>
      <t xml:space="preserve">]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</si>
</sst>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\-* #,##0_-;_-* \-_-;_-@_-"/>
    <numFmt numFmtId="166" formatCode="#,##0"/>
  </numFmts>
  <fonts count="19">
    <font>
      <sz val="11"/>
      <color rgb="FF000000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  <charset val="1"/>
    </font>
    <font>
      <b val="true"/>
      <sz val="9"/>
      <color rgb="FFFFFFFF"/>
      <name val="맑은 고딕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000000"/>
      <name val="Noto Sans CJK SC"/>
      <family val="2"/>
      <charset val="1"/>
    </font>
    <font>
      <sz val="9"/>
      <color rgb="FF000000"/>
      <name val="맑은 고딕"/>
      <family val="0"/>
      <charset val="1"/>
    </font>
    <font>
      <sz val="9"/>
      <color rgb="FF0070C0"/>
      <name val="맑은 고딕"/>
      <family val="0"/>
      <charset val="1"/>
    </font>
    <font>
      <b val="true"/>
      <sz val="8"/>
      <color rgb="FF000000"/>
      <name val="Noto Sans CJK SC"/>
      <family val="2"/>
      <charset val="1"/>
    </font>
    <font>
      <sz val="9"/>
      <color rgb="FF000000"/>
      <name val="Noto Sans CJK SC"/>
      <family val="2"/>
    </font>
    <font>
      <sz val="9"/>
      <color rgb="FF0070C0"/>
      <name val="Noto Sans CJK SC"/>
      <family val="2"/>
    </font>
    <font>
      <b val="true"/>
      <sz val="9"/>
      <color rgb="FF000000"/>
      <name val="맑은 고딕"/>
      <family val="3"/>
      <charset val="129"/>
    </font>
    <font>
      <b val="true"/>
      <sz val="9"/>
      <color rgb="FF0000FF"/>
      <name val="맑은 고딕"/>
      <family val="3"/>
      <charset val="129"/>
    </font>
    <font>
      <b val="true"/>
      <sz val="9"/>
      <color rgb="FF000000"/>
      <name val="Noto Sans CJK SC"/>
      <family val="2"/>
    </font>
    <font>
      <b val="true"/>
      <sz val="13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0000"/>
        <bgColor rgb="FF800000"/>
      </patternFill>
    </fill>
    <fill>
      <patternFill patternType="solid">
        <fgColor rgb="FF0070C0"/>
        <bgColor rgb="FF008080"/>
      </patternFill>
    </fill>
    <fill>
      <patternFill patternType="solid">
        <fgColor rgb="FF2E75B6"/>
        <bgColor rgb="FF007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99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C45" activeCellId="0" sqref="C45"/>
    </sheetView>
  </sheetViews>
  <sheetFormatPr defaultColWidth="9" defaultRowHeight="17.25" zeroHeight="false" outlineLevelRow="0" outlineLevelCol="0"/>
  <cols>
    <col collapsed="false" customWidth="true" hidden="false" outlineLevel="0" max="1" min="1" style="1" width="6.5"/>
    <col collapsed="false" customWidth="true" hidden="false" outlineLevel="0" max="2" min="2" style="1" width="22"/>
    <col collapsed="false" customWidth="true" hidden="false" outlineLevel="0" max="18" min="3" style="1" width="12"/>
  </cols>
  <sheetData>
    <row r="1" customFormat="false" ht="38.25" hidden="false" customHeight="true" outlineLevel="0" collapsed="false">
      <c r="A1" s="2" t="s">
        <v>0</v>
      </c>
      <c r="B1" s="2"/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3" t="s">
        <v>7</v>
      </c>
      <c r="J1" s="6" t="s">
        <v>7</v>
      </c>
      <c r="K1" s="6" t="s">
        <v>8</v>
      </c>
      <c r="L1" s="7" t="s">
        <v>9</v>
      </c>
      <c r="M1" s="8" t="s">
        <v>10</v>
      </c>
      <c r="N1" s="8" t="s">
        <v>11</v>
      </c>
      <c r="O1" s="6" t="s">
        <v>12</v>
      </c>
      <c r="P1" s="8" t="s">
        <v>13</v>
      </c>
      <c r="Q1" s="9" t="s">
        <v>14</v>
      </c>
    </row>
    <row r="2" customFormat="false" ht="16.5" hidden="false" customHeight="true" outlineLevel="0" collapsed="false">
      <c r="A2" s="10" t="s">
        <v>15</v>
      </c>
      <c r="B2" s="10"/>
      <c r="C2" s="11" t="n">
        <v>94533</v>
      </c>
      <c r="D2" s="12" t="n">
        <v>62290</v>
      </c>
      <c r="E2" s="11" t="n">
        <v>40670</v>
      </c>
      <c r="F2" s="11" t="n">
        <v>46730</v>
      </c>
      <c r="G2" s="11" t="n">
        <v>26035</v>
      </c>
      <c r="H2" s="11" t="n">
        <v>81183</v>
      </c>
      <c r="I2" s="11" t="n">
        <v>147433</v>
      </c>
      <c r="J2" s="11" t="n">
        <v>50255</v>
      </c>
      <c r="K2" s="13"/>
      <c r="L2" s="13"/>
      <c r="M2" s="14" t="n">
        <v>147644</v>
      </c>
      <c r="N2" s="14" t="n">
        <v>99410</v>
      </c>
      <c r="O2" s="15" t="n">
        <v>87428</v>
      </c>
      <c r="P2" s="14" t="n">
        <v>26497</v>
      </c>
      <c r="Q2" s="16" t="n">
        <f aca="false">SUM(C2:P2)</f>
        <v>910108</v>
      </c>
    </row>
    <row r="3" customFormat="false" ht="16.5" hidden="false" customHeight="true" outlineLevel="0" collapsed="false">
      <c r="A3" s="17" t="s">
        <v>16</v>
      </c>
      <c r="B3" s="17"/>
      <c r="C3" s="18" t="s">
        <v>17</v>
      </c>
      <c r="D3" s="19" t="s">
        <v>18</v>
      </c>
      <c r="E3" s="18" t="s">
        <v>19</v>
      </c>
      <c r="F3" s="18" t="s">
        <v>20</v>
      </c>
      <c r="G3" s="18" t="s">
        <v>17</v>
      </c>
      <c r="H3" s="18" t="s">
        <v>21</v>
      </c>
      <c r="I3" s="18" t="s">
        <v>17</v>
      </c>
      <c r="J3" s="18" t="s">
        <v>17</v>
      </c>
      <c r="K3" s="13" t="s">
        <v>22</v>
      </c>
      <c r="L3" s="13" t="s">
        <v>23</v>
      </c>
      <c r="M3" s="20" t="s">
        <v>24</v>
      </c>
      <c r="N3" s="20" t="s">
        <v>25</v>
      </c>
      <c r="O3" s="13" t="s">
        <v>26</v>
      </c>
      <c r="P3" s="20" t="s">
        <v>27</v>
      </c>
      <c r="Q3" s="21"/>
    </row>
    <row r="4" customFormat="false" ht="16.5" hidden="false" customHeight="true" outlineLevel="0" collapsed="false">
      <c r="A4" s="17" t="s">
        <v>28</v>
      </c>
      <c r="B4" s="17"/>
      <c r="C4" s="18" t="s">
        <v>29</v>
      </c>
      <c r="D4" s="19" t="s">
        <v>30</v>
      </c>
      <c r="E4" s="18" t="s">
        <v>31</v>
      </c>
      <c r="F4" s="18" t="s">
        <v>32</v>
      </c>
      <c r="G4" s="18" t="s">
        <v>33</v>
      </c>
      <c r="H4" s="18" t="s">
        <v>34</v>
      </c>
      <c r="I4" s="18" t="s">
        <v>35</v>
      </c>
      <c r="J4" s="18" t="s">
        <v>29</v>
      </c>
      <c r="K4" s="13" t="s">
        <v>36</v>
      </c>
      <c r="L4" s="13" t="s">
        <v>37</v>
      </c>
      <c r="M4" s="20" t="s">
        <v>38</v>
      </c>
      <c r="N4" s="20" t="s">
        <v>39</v>
      </c>
      <c r="O4" s="13" t="s">
        <v>40</v>
      </c>
      <c r="P4" s="20" t="s">
        <v>41</v>
      </c>
      <c r="Q4" s="21"/>
    </row>
    <row r="5" customFormat="false" ht="17.25" hidden="false" customHeight="true" outlineLevel="0" collapsed="false">
      <c r="A5" s="17" t="s">
        <v>42</v>
      </c>
      <c r="B5" s="17"/>
      <c r="C5" s="18" t="s">
        <v>43</v>
      </c>
      <c r="D5" s="19" t="s">
        <v>44</v>
      </c>
      <c r="E5" s="18" t="s">
        <v>43</v>
      </c>
      <c r="F5" s="18" t="s">
        <v>43</v>
      </c>
      <c r="G5" s="18" t="s">
        <v>43</v>
      </c>
      <c r="H5" s="18" t="s">
        <v>43</v>
      </c>
      <c r="I5" s="18" t="s">
        <v>43</v>
      </c>
      <c r="J5" s="18" t="s">
        <v>43</v>
      </c>
      <c r="K5" s="13"/>
      <c r="L5" s="13"/>
      <c r="M5" s="20" t="s">
        <v>45</v>
      </c>
      <c r="N5" s="20" t="s">
        <v>44</v>
      </c>
      <c r="O5" s="13" t="s">
        <v>46</v>
      </c>
      <c r="P5" s="20" t="s">
        <v>45</v>
      </c>
      <c r="Q5" s="21"/>
    </row>
    <row r="6" customFormat="false" ht="16.5" hidden="false" customHeight="true" outlineLevel="0" collapsed="false">
      <c r="A6" s="22" t="s">
        <v>47</v>
      </c>
      <c r="B6" s="23" t="s">
        <v>48</v>
      </c>
      <c r="C6" s="24"/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6" t="n">
        <f aca="false">SUM(C6:P6)</f>
        <v>0</v>
      </c>
    </row>
    <row r="7" customFormat="false" ht="17.25" hidden="false" customHeight="true" outlineLevel="0" collapsed="false">
      <c r="A7" s="22"/>
      <c r="B7" s="27" t="s">
        <v>49</v>
      </c>
      <c r="C7" s="28"/>
      <c r="D7" s="28"/>
      <c r="E7" s="28"/>
      <c r="F7" s="28"/>
      <c r="G7" s="28"/>
      <c r="H7" s="28"/>
      <c r="I7" s="28"/>
      <c r="J7" s="28"/>
      <c r="K7" s="29"/>
      <c r="L7" s="29"/>
      <c r="M7" s="29"/>
      <c r="N7" s="29"/>
      <c r="O7" s="29"/>
      <c r="P7" s="29"/>
      <c r="Q7" s="30" t="n">
        <f aca="false">SUM(C7:P7)</f>
        <v>0</v>
      </c>
    </row>
    <row r="8" customFormat="false" ht="17.25" hidden="false" customHeight="true" outlineLevel="0" collapsed="false">
      <c r="A8" s="22"/>
      <c r="B8" s="31" t="s">
        <v>50</v>
      </c>
      <c r="C8" s="28"/>
      <c r="D8" s="28"/>
      <c r="E8" s="28"/>
      <c r="F8" s="28"/>
      <c r="G8" s="28"/>
      <c r="H8" s="28"/>
      <c r="I8" s="28"/>
      <c r="J8" s="28"/>
      <c r="K8" s="29"/>
      <c r="L8" s="29"/>
      <c r="M8" s="32" t="n">
        <v>100</v>
      </c>
      <c r="N8" s="29"/>
      <c r="O8" s="33" t="n">
        <v>3396</v>
      </c>
      <c r="P8" s="29"/>
      <c r="Q8" s="30" t="n">
        <f aca="false">SUM(C8:P8)</f>
        <v>3496</v>
      </c>
    </row>
    <row r="9" customFormat="false" ht="16.5" hidden="false" customHeight="true" outlineLevel="0" collapsed="false">
      <c r="A9" s="22"/>
      <c r="B9" s="31" t="s">
        <v>51</v>
      </c>
      <c r="C9" s="28"/>
      <c r="D9" s="28"/>
      <c r="E9" s="28"/>
      <c r="F9" s="28"/>
      <c r="G9" s="28"/>
      <c r="H9" s="28"/>
      <c r="I9" s="28"/>
      <c r="J9" s="28"/>
      <c r="K9" s="29"/>
      <c r="L9" s="29"/>
      <c r="M9" s="29"/>
      <c r="N9" s="29"/>
      <c r="O9" s="29"/>
      <c r="P9" s="29"/>
      <c r="Q9" s="30" t="n">
        <f aca="false">SUM(C9:P9)</f>
        <v>0</v>
      </c>
    </row>
    <row r="10" customFormat="false" ht="17.25" hidden="false" customHeight="true" outlineLevel="0" collapsed="false">
      <c r="A10" s="22"/>
      <c r="B10" s="34" t="s">
        <v>52</v>
      </c>
      <c r="C10" s="11" t="n">
        <v>100</v>
      </c>
      <c r="D10" s="35"/>
      <c r="E10" s="11" t="n">
        <v>1000</v>
      </c>
      <c r="F10" s="11" t="n">
        <v>4000</v>
      </c>
      <c r="G10" s="11" t="n">
        <v>20000</v>
      </c>
      <c r="H10" s="11" t="n">
        <v>5000</v>
      </c>
      <c r="I10" s="11" t="n">
        <v>100</v>
      </c>
      <c r="J10" s="11" t="n">
        <v>100</v>
      </c>
      <c r="K10" s="36"/>
      <c r="L10" s="36"/>
      <c r="M10" s="14" t="n">
        <v>100</v>
      </c>
      <c r="N10" s="36"/>
      <c r="O10" s="15" t="n">
        <v>6396</v>
      </c>
      <c r="P10" s="36"/>
      <c r="Q10" s="16" t="n">
        <f aca="false">SUM(C10:P10)</f>
        <v>36796</v>
      </c>
    </row>
    <row r="11" customFormat="false" ht="16.5" hidden="false" customHeight="true" outlineLevel="0" collapsed="false">
      <c r="A11" s="37" t="s">
        <v>53</v>
      </c>
      <c r="B11" s="31" t="s">
        <v>54</v>
      </c>
      <c r="C11" s="28"/>
      <c r="D11" s="28"/>
      <c r="E11" s="28"/>
      <c r="F11" s="38" t="n">
        <v>4000</v>
      </c>
      <c r="G11" s="38" t="n">
        <v>10000</v>
      </c>
      <c r="H11" s="28"/>
      <c r="I11" s="28"/>
      <c r="J11" s="28"/>
      <c r="K11" s="29"/>
      <c r="L11" s="29"/>
      <c r="M11" s="29"/>
      <c r="N11" s="29"/>
      <c r="O11" s="33" t="n">
        <v>3000</v>
      </c>
      <c r="P11" s="29"/>
      <c r="Q11" s="30" t="n">
        <f aca="false">SUM(C11:P11)</f>
        <v>17000</v>
      </c>
    </row>
    <row r="12" customFormat="false" ht="16.5" hidden="false" customHeight="true" outlineLevel="0" collapsed="false">
      <c r="A12" s="37"/>
      <c r="B12" s="31" t="s">
        <v>55</v>
      </c>
      <c r="C12" s="28"/>
      <c r="D12" s="28"/>
      <c r="E12" s="38" t="n">
        <v>100</v>
      </c>
      <c r="F12" s="28"/>
      <c r="G12" s="28"/>
      <c r="H12" s="38" t="n">
        <v>30000</v>
      </c>
      <c r="I12" s="28"/>
      <c r="J12" s="28"/>
      <c r="K12" s="29"/>
      <c r="L12" s="29"/>
      <c r="M12" s="29"/>
      <c r="N12" s="29"/>
      <c r="O12" s="29"/>
      <c r="P12" s="29"/>
      <c r="Q12" s="30" t="n">
        <f aca="false">SUM(C12:P12)</f>
        <v>30100</v>
      </c>
    </row>
    <row r="13" customFormat="false" ht="16.5" hidden="false" customHeight="true" outlineLevel="0" collapsed="false">
      <c r="A13" s="37"/>
      <c r="B13" s="31" t="s">
        <v>56</v>
      </c>
      <c r="C13" s="28"/>
      <c r="D13" s="28"/>
      <c r="E13" s="28"/>
      <c r="F13" s="28"/>
      <c r="G13" s="28"/>
      <c r="H13" s="28"/>
      <c r="I13" s="28"/>
      <c r="J13" s="28"/>
      <c r="K13" s="29"/>
      <c r="L13" s="29"/>
      <c r="M13" s="29"/>
      <c r="N13" s="29"/>
      <c r="O13" s="29"/>
      <c r="P13" s="29"/>
      <c r="Q13" s="30" t="n">
        <f aca="false">SUM(C13:P13)</f>
        <v>0</v>
      </c>
    </row>
    <row r="14" customFormat="false" ht="17.25" hidden="false" customHeight="true" outlineLevel="0" collapsed="false">
      <c r="A14" s="37"/>
      <c r="B14" s="34" t="s">
        <v>57</v>
      </c>
      <c r="C14" s="35"/>
      <c r="D14" s="35"/>
      <c r="E14" s="35"/>
      <c r="F14" s="35"/>
      <c r="G14" s="35"/>
      <c r="H14" s="11" t="n">
        <v>10000</v>
      </c>
      <c r="I14" s="35"/>
      <c r="J14" s="35"/>
      <c r="K14" s="36"/>
      <c r="L14" s="36"/>
      <c r="M14" s="36"/>
      <c r="N14" s="36"/>
      <c r="O14" s="36"/>
      <c r="P14" s="36"/>
      <c r="Q14" s="16" t="n">
        <f aca="false">SUM(C14:P14)</f>
        <v>10000</v>
      </c>
    </row>
    <row r="15" customFormat="false" ht="17.25" hidden="false" customHeight="true" outlineLevel="0" collapsed="false">
      <c r="A15" s="37" t="s">
        <v>58</v>
      </c>
      <c r="B15" s="31" t="s">
        <v>59</v>
      </c>
      <c r="C15" s="28"/>
      <c r="D15" s="28"/>
      <c r="E15" s="28"/>
      <c r="F15" s="28"/>
      <c r="G15" s="28"/>
      <c r="H15" s="28"/>
      <c r="I15" s="28"/>
      <c r="J15" s="28"/>
      <c r="K15" s="29"/>
      <c r="L15" s="29"/>
      <c r="M15" s="29"/>
      <c r="N15" s="29"/>
      <c r="O15" s="29"/>
      <c r="P15" s="29"/>
      <c r="Q15" s="30" t="n">
        <f aca="false">SUM(C15:P15)</f>
        <v>0</v>
      </c>
    </row>
    <row r="16" customFormat="false" ht="16.5" hidden="false" customHeight="true" outlineLevel="0" collapsed="false">
      <c r="A16" s="37"/>
      <c r="B16" s="27" t="s">
        <v>60</v>
      </c>
      <c r="C16" s="28"/>
      <c r="D16" s="39" t="n">
        <v>1000</v>
      </c>
      <c r="E16" s="28"/>
      <c r="F16" s="38" t="n">
        <v>4000</v>
      </c>
      <c r="G16" s="28"/>
      <c r="H16" s="38" t="n">
        <v>2000</v>
      </c>
      <c r="I16" s="38" t="n">
        <v>5000</v>
      </c>
      <c r="J16" s="28"/>
      <c r="K16" s="29"/>
      <c r="L16" s="29"/>
      <c r="M16" s="32" t="n">
        <v>1000</v>
      </c>
      <c r="N16" s="32" t="n">
        <v>6500</v>
      </c>
      <c r="O16" s="33" t="n">
        <v>2000</v>
      </c>
      <c r="P16" s="29"/>
      <c r="Q16" s="30" t="n">
        <f aca="false">SUM(C16:P16)</f>
        <v>21500</v>
      </c>
    </row>
    <row r="17" customFormat="false" ht="17.25" hidden="false" customHeight="true" outlineLevel="0" collapsed="false">
      <c r="A17" s="37"/>
      <c r="B17" s="27" t="s">
        <v>61</v>
      </c>
      <c r="C17" s="28"/>
      <c r="D17" s="28"/>
      <c r="E17" s="28"/>
      <c r="F17" s="28"/>
      <c r="G17" s="28"/>
      <c r="H17" s="28"/>
      <c r="I17" s="28"/>
      <c r="J17" s="28"/>
      <c r="K17" s="29"/>
      <c r="L17" s="29"/>
      <c r="M17" s="29"/>
      <c r="N17" s="29"/>
      <c r="O17" s="29"/>
      <c r="P17" s="29"/>
      <c r="Q17" s="30" t="n">
        <f aca="false">SUM(C17:P17)</f>
        <v>0</v>
      </c>
    </row>
    <row r="18" customFormat="false" ht="16.5" hidden="false" customHeight="true" outlineLevel="0" collapsed="false">
      <c r="A18" s="37"/>
      <c r="B18" s="31" t="s">
        <v>62</v>
      </c>
      <c r="C18" s="28"/>
      <c r="D18" s="39" t="n">
        <v>200</v>
      </c>
      <c r="E18" s="28"/>
      <c r="F18" s="38" t="n">
        <v>400</v>
      </c>
      <c r="G18" s="28"/>
      <c r="H18" s="38" t="n">
        <v>200</v>
      </c>
      <c r="I18" s="38" t="n">
        <v>600</v>
      </c>
      <c r="J18" s="28"/>
      <c r="K18" s="29"/>
      <c r="L18" s="29"/>
      <c r="M18" s="32" t="n">
        <v>200</v>
      </c>
      <c r="N18" s="32" t="n">
        <v>500</v>
      </c>
      <c r="O18" s="33" t="n">
        <v>320</v>
      </c>
      <c r="P18" s="32" t="n">
        <v>7</v>
      </c>
      <c r="Q18" s="30" t="n">
        <f aca="false">SUM(C18:P18)</f>
        <v>2427</v>
      </c>
    </row>
    <row r="19" customFormat="false" ht="16.5" hidden="false" customHeight="true" outlineLevel="0" collapsed="false">
      <c r="A19" s="37"/>
      <c r="B19" s="31" t="s">
        <v>63</v>
      </c>
      <c r="C19" s="28"/>
      <c r="D19" s="28"/>
      <c r="E19" s="28"/>
      <c r="F19" s="28"/>
      <c r="G19" s="28"/>
      <c r="H19" s="28"/>
      <c r="I19" s="28"/>
      <c r="J19" s="38" t="n">
        <v>600</v>
      </c>
      <c r="K19" s="29"/>
      <c r="L19" s="29"/>
      <c r="M19" s="29"/>
      <c r="N19" s="29"/>
      <c r="O19" s="29"/>
      <c r="P19" s="29"/>
      <c r="Q19" s="30" t="n">
        <f aca="false">SUM(C19:P19)</f>
        <v>600</v>
      </c>
    </row>
    <row r="20" customFormat="false" ht="16.5" hidden="false" customHeight="true" outlineLevel="0" collapsed="false">
      <c r="A20" s="37"/>
      <c r="B20" s="31" t="s">
        <v>64</v>
      </c>
      <c r="C20" s="40"/>
      <c r="D20" s="39" t="n">
        <v>2000</v>
      </c>
      <c r="E20" s="40"/>
      <c r="F20" s="40"/>
      <c r="G20" s="40"/>
      <c r="H20" s="40"/>
      <c r="I20" s="38" t="n">
        <v>2000</v>
      </c>
      <c r="J20" s="28"/>
      <c r="K20" s="29"/>
      <c r="L20" s="29"/>
      <c r="M20" s="29"/>
      <c r="N20" s="29"/>
      <c r="O20" s="29"/>
      <c r="P20" s="32" t="n">
        <v>1000</v>
      </c>
      <c r="Q20" s="30" t="n">
        <f aca="false">SUM(C20:P20)</f>
        <v>5000</v>
      </c>
    </row>
    <row r="21" customFormat="false" ht="16.5" hidden="false" customHeight="true" outlineLevel="0" collapsed="false">
      <c r="A21" s="37"/>
      <c r="B21" s="31" t="s">
        <v>65</v>
      </c>
      <c r="C21" s="28"/>
      <c r="D21" s="28"/>
      <c r="E21" s="28"/>
      <c r="F21" s="28"/>
      <c r="G21" s="28"/>
      <c r="H21" s="28"/>
      <c r="I21" s="28"/>
      <c r="J21" s="28"/>
      <c r="K21" s="29"/>
      <c r="L21" s="29"/>
      <c r="M21" s="29"/>
      <c r="N21" s="29"/>
      <c r="O21" s="29"/>
      <c r="P21" s="29"/>
      <c r="Q21" s="30" t="n">
        <f aca="false">SUM(C21:P21)</f>
        <v>0</v>
      </c>
    </row>
    <row r="22" customFormat="false" ht="16.5" hidden="false" customHeight="true" outlineLevel="0" collapsed="false">
      <c r="A22" s="37"/>
      <c r="B22" s="31" t="s">
        <v>66</v>
      </c>
      <c r="C22" s="40"/>
      <c r="D22" s="40"/>
      <c r="E22" s="40"/>
      <c r="F22" s="40"/>
      <c r="G22" s="40"/>
      <c r="H22" s="40"/>
      <c r="I22" s="38" t="n">
        <v>5000</v>
      </c>
      <c r="J22" s="28"/>
      <c r="K22" s="29"/>
      <c r="L22" s="29"/>
      <c r="M22" s="29"/>
      <c r="N22" s="29"/>
      <c r="O22" s="29"/>
      <c r="P22" s="29"/>
      <c r="Q22" s="30" t="n">
        <f aca="false">IF(COUNT(C22:P22)=0,0,MAX(C22:P22))</f>
        <v>5000</v>
      </c>
    </row>
    <row r="23" customFormat="false" ht="16.5" hidden="false" customHeight="true" outlineLevel="0" collapsed="false">
      <c r="A23" s="37"/>
      <c r="B23" s="31" t="s">
        <v>67</v>
      </c>
      <c r="C23" s="40"/>
      <c r="D23" s="40"/>
      <c r="E23" s="40"/>
      <c r="F23" s="40"/>
      <c r="G23" s="40"/>
      <c r="H23" s="40"/>
      <c r="I23" s="28"/>
      <c r="J23" s="28"/>
      <c r="K23" s="29"/>
      <c r="L23" s="29"/>
      <c r="M23" s="32" t="n">
        <v>5000</v>
      </c>
      <c r="N23" s="32" t="n">
        <v>10000</v>
      </c>
      <c r="O23" s="29"/>
      <c r="P23" s="29"/>
      <c r="Q23" s="30" t="n">
        <f aca="false">SUM(C23:P23)</f>
        <v>15000</v>
      </c>
    </row>
    <row r="24" customFormat="false" ht="16.5" hidden="false" customHeight="true" outlineLevel="0" collapsed="false">
      <c r="A24" s="37"/>
      <c r="B24" s="31" t="s">
        <v>68</v>
      </c>
      <c r="C24" s="40"/>
      <c r="D24" s="40"/>
      <c r="E24" s="40"/>
      <c r="F24" s="40"/>
      <c r="G24" s="40"/>
      <c r="H24" s="40"/>
      <c r="I24" s="28"/>
      <c r="J24" s="28"/>
      <c r="K24" s="29"/>
      <c r="L24" s="29"/>
      <c r="M24" s="29"/>
      <c r="N24" s="29"/>
      <c r="O24" s="29"/>
      <c r="P24" s="29"/>
      <c r="Q24" s="30" t="n">
        <f aca="false">SUM(C24:P24)</f>
        <v>0</v>
      </c>
    </row>
    <row r="25" customFormat="false" ht="16.5" hidden="false" customHeight="true" outlineLevel="0" collapsed="false">
      <c r="A25" s="37"/>
      <c r="B25" s="31" t="s">
        <v>69</v>
      </c>
      <c r="C25" s="40"/>
      <c r="D25" s="40"/>
      <c r="E25" s="40"/>
      <c r="F25" s="40"/>
      <c r="G25" s="40"/>
      <c r="H25" s="40"/>
      <c r="I25" s="28"/>
      <c r="J25" s="28"/>
      <c r="K25" s="29"/>
      <c r="L25" s="29"/>
      <c r="M25" s="32" t="n">
        <v>2000</v>
      </c>
      <c r="N25" s="29"/>
      <c r="O25" s="29"/>
      <c r="P25" s="29"/>
      <c r="Q25" s="30" t="n">
        <f aca="false">SUM(C25:P25)</f>
        <v>2000</v>
      </c>
    </row>
    <row r="26" customFormat="false" ht="16.5" hidden="false" customHeight="true" outlineLevel="0" collapsed="false">
      <c r="A26" s="37"/>
      <c r="B26" s="31" t="s">
        <v>70</v>
      </c>
      <c r="C26" s="40"/>
      <c r="D26" s="40"/>
      <c r="E26" s="40"/>
      <c r="F26" s="40"/>
      <c r="G26" s="40"/>
      <c r="H26" s="40"/>
      <c r="I26" s="28"/>
      <c r="J26" s="28"/>
      <c r="K26" s="29"/>
      <c r="L26" s="29"/>
      <c r="M26" s="32" t="n">
        <v>500</v>
      </c>
      <c r="N26" s="29"/>
      <c r="O26" s="29"/>
      <c r="P26" s="29"/>
      <c r="Q26" s="30" t="n">
        <f aca="false">SUM(C26:P26)</f>
        <v>500</v>
      </c>
    </row>
    <row r="27" customFormat="false" ht="16.5" hidden="false" customHeight="true" outlineLevel="0" collapsed="false">
      <c r="A27" s="37"/>
      <c r="B27" s="31" t="s">
        <v>71</v>
      </c>
      <c r="C27" s="28"/>
      <c r="D27" s="28"/>
      <c r="E27" s="28"/>
      <c r="F27" s="28"/>
      <c r="G27" s="28"/>
      <c r="H27" s="28"/>
      <c r="I27" s="38" t="n">
        <v>1000</v>
      </c>
      <c r="J27" s="28"/>
      <c r="K27" s="29"/>
      <c r="L27" s="29"/>
      <c r="M27" s="32" t="n">
        <v>6000</v>
      </c>
      <c r="N27" s="29"/>
      <c r="O27" s="33" t="n">
        <v>440</v>
      </c>
      <c r="P27" s="29"/>
      <c r="Q27" s="30" t="n">
        <f aca="false">SUM(C27:P27)</f>
        <v>7440</v>
      </c>
    </row>
    <row r="28" customFormat="false" ht="17.25" hidden="false" customHeight="true" outlineLevel="0" collapsed="false">
      <c r="A28" s="37"/>
      <c r="B28" s="31" t="s">
        <v>72</v>
      </c>
      <c r="C28" s="28"/>
      <c r="D28" s="28"/>
      <c r="E28" s="28"/>
      <c r="F28" s="28"/>
      <c r="G28" s="28"/>
      <c r="H28" s="28"/>
      <c r="I28" s="28"/>
      <c r="J28" s="28"/>
      <c r="K28" s="29"/>
      <c r="L28" s="29"/>
      <c r="M28" s="29"/>
      <c r="N28" s="29"/>
      <c r="O28" s="33" t="n">
        <v>20</v>
      </c>
      <c r="P28" s="29"/>
      <c r="Q28" s="30" t="n">
        <f aca="false">SUM(C28:P28)</f>
        <v>20</v>
      </c>
    </row>
    <row r="29" customFormat="false" ht="17.25" hidden="false" customHeight="true" outlineLevel="0" collapsed="false">
      <c r="A29" s="37"/>
      <c r="B29" s="34" t="s">
        <v>73</v>
      </c>
      <c r="C29" s="35"/>
      <c r="D29" s="35"/>
      <c r="E29" s="35"/>
      <c r="F29" s="35"/>
      <c r="G29" s="35"/>
      <c r="H29" s="35"/>
      <c r="I29" s="11" t="n">
        <v>100</v>
      </c>
      <c r="J29" s="35"/>
      <c r="K29" s="36"/>
      <c r="L29" s="36"/>
      <c r="M29" s="14" t="n">
        <v>6000</v>
      </c>
      <c r="N29" s="14" t="n">
        <v>1000</v>
      </c>
      <c r="O29" s="36"/>
      <c r="P29" s="36"/>
      <c r="Q29" s="16" t="n">
        <f aca="false">SUM(C29:P29)</f>
        <v>7100</v>
      </c>
    </row>
    <row r="30" customFormat="false" ht="16.5" hidden="false" customHeight="true" outlineLevel="0" collapsed="false">
      <c r="A30" s="37" t="s">
        <v>74</v>
      </c>
      <c r="B30" s="31" t="s">
        <v>75</v>
      </c>
      <c r="C30" s="38" t="n">
        <v>1000</v>
      </c>
      <c r="D30" s="28"/>
      <c r="E30" s="28"/>
      <c r="F30" s="28"/>
      <c r="G30" s="28"/>
      <c r="H30" s="28"/>
      <c r="I30" s="28"/>
      <c r="J30" s="28"/>
      <c r="K30" s="29"/>
      <c r="L30" s="29"/>
      <c r="M30" s="29"/>
      <c r="N30" s="32" t="n">
        <v>1000</v>
      </c>
      <c r="O30" s="33" t="n">
        <v>4000</v>
      </c>
      <c r="P30" s="29"/>
      <c r="Q30" s="30" t="n">
        <f aca="false">SUM(C30:P30)</f>
        <v>6000</v>
      </c>
    </row>
    <row r="31" customFormat="false" ht="17.25" hidden="false" customHeight="true" outlineLevel="0" collapsed="false">
      <c r="A31" s="37"/>
      <c r="B31" s="27" t="s">
        <v>76</v>
      </c>
      <c r="C31" s="38" t="n">
        <v>2000</v>
      </c>
      <c r="D31" s="28"/>
      <c r="E31" s="28"/>
      <c r="F31" s="28"/>
      <c r="G31" s="28"/>
      <c r="H31" s="38" t="n">
        <v>1000</v>
      </c>
      <c r="I31" s="28"/>
      <c r="J31" s="28"/>
      <c r="K31" s="29"/>
      <c r="L31" s="29"/>
      <c r="M31" s="29"/>
      <c r="N31" s="29"/>
      <c r="O31" s="33" t="n">
        <v>2000</v>
      </c>
      <c r="P31" s="29"/>
      <c r="Q31" s="30" t="n">
        <f aca="false">SUM(C31:P31)</f>
        <v>5000</v>
      </c>
    </row>
    <row r="32" customFormat="false" ht="16.5" hidden="false" customHeight="true" outlineLevel="0" collapsed="false">
      <c r="A32" s="37"/>
      <c r="B32" s="27" t="s">
        <v>77</v>
      </c>
      <c r="C32" s="28"/>
      <c r="D32" s="28"/>
      <c r="E32" s="28"/>
      <c r="F32" s="28"/>
      <c r="G32" s="28"/>
      <c r="H32" s="28"/>
      <c r="I32" s="28"/>
      <c r="J32" s="28"/>
      <c r="K32" s="29"/>
      <c r="L32" s="29"/>
      <c r="M32" s="29"/>
      <c r="N32" s="29"/>
      <c r="O32" s="29"/>
      <c r="P32" s="29"/>
      <c r="Q32" s="30" t="n">
        <f aca="false">SUM(C32:P32)</f>
        <v>0</v>
      </c>
    </row>
    <row r="33" customFormat="false" ht="16.5" hidden="false" customHeight="true" outlineLevel="0" collapsed="false">
      <c r="A33" s="37"/>
      <c r="B33" s="31" t="s">
        <v>78</v>
      </c>
      <c r="C33" s="28"/>
      <c r="D33" s="28"/>
      <c r="E33" s="28"/>
      <c r="F33" s="28"/>
      <c r="G33" s="28"/>
      <c r="H33" s="28"/>
      <c r="I33" s="28"/>
      <c r="J33" s="28"/>
      <c r="K33" s="29"/>
      <c r="L33" s="29"/>
      <c r="M33" s="29"/>
      <c r="N33" s="29"/>
      <c r="O33" s="29"/>
      <c r="P33" s="29"/>
      <c r="Q33" s="30" t="n">
        <f aca="false">SUM(C33:P33)</f>
        <v>0</v>
      </c>
    </row>
    <row r="34" customFormat="false" ht="16.5" hidden="false" customHeight="true" outlineLevel="0" collapsed="false">
      <c r="A34" s="37"/>
      <c r="B34" s="31" t="s">
        <v>79</v>
      </c>
      <c r="C34" s="28"/>
      <c r="D34" s="28"/>
      <c r="E34" s="28"/>
      <c r="F34" s="28"/>
      <c r="G34" s="28"/>
      <c r="H34" s="28"/>
      <c r="I34" s="28"/>
      <c r="J34" s="28"/>
      <c r="K34" s="29"/>
      <c r="L34" s="29"/>
      <c r="M34" s="29"/>
      <c r="N34" s="29"/>
      <c r="O34" s="29"/>
      <c r="P34" s="29"/>
      <c r="Q34" s="30" t="n">
        <f aca="false">SUM(C34:P34)</f>
        <v>0</v>
      </c>
    </row>
    <row r="35" customFormat="false" ht="16.5" hidden="false" customHeight="true" outlineLevel="0" collapsed="false">
      <c r="A35" s="37"/>
      <c r="B35" s="31" t="s">
        <v>80</v>
      </c>
      <c r="C35" s="28"/>
      <c r="D35" s="28"/>
      <c r="E35" s="39" t="n">
        <v>1000</v>
      </c>
      <c r="F35" s="28"/>
      <c r="G35" s="28"/>
      <c r="H35" s="28"/>
      <c r="I35" s="28"/>
      <c r="J35" s="28"/>
      <c r="K35" s="29"/>
      <c r="L35" s="29"/>
      <c r="M35" s="32" t="n">
        <v>1000</v>
      </c>
      <c r="N35" s="29"/>
      <c r="O35" s="29"/>
      <c r="P35" s="29"/>
      <c r="Q35" s="30" t="n">
        <f aca="false">SUM(C35:P35)</f>
        <v>2000</v>
      </c>
    </row>
    <row r="36" customFormat="false" ht="16.5" hidden="false" customHeight="true" outlineLevel="0" collapsed="false">
      <c r="A36" s="37"/>
      <c r="B36" s="31" t="s">
        <v>81</v>
      </c>
      <c r="C36" s="38" t="n">
        <v>1000</v>
      </c>
      <c r="D36" s="28"/>
      <c r="E36" s="28"/>
      <c r="F36" s="28"/>
      <c r="G36" s="28"/>
      <c r="H36" s="28"/>
      <c r="I36" s="28"/>
      <c r="J36" s="28"/>
      <c r="K36" s="29"/>
      <c r="L36" s="29"/>
      <c r="M36" s="29"/>
      <c r="N36" s="29"/>
      <c r="O36" s="29"/>
      <c r="P36" s="29"/>
      <c r="Q36" s="30" t="n">
        <f aca="false">SUM(C36:P36)</f>
        <v>1000</v>
      </c>
    </row>
    <row r="37" customFormat="false" ht="16.5" hidden="false" customHeight="true" outlineLevel="0" collapsed="false">
      <c r="A37" s="37"/>
      <c r="B37" s="34" t="s">
        <v>82</v>
      </c>
      <c r="C37" s="35"/>
      <c r="D37" s="35"/>
      <c r="E37" s="35"/>
      <c r="F37" s="35"/>
      <c r="G37" s="35"/>
      <c r="H37" s="35"/>
      <c r="I37" s="35"/>
      <c r="J37" s="35"/>
      <c r="K37" s="36"/>
      <c r="L37" s="36"/>
      <c r="M37" s="36"/>
      <c r="N37" s="36"/>
      <c r="O37" s="36"/>
      <c r="P37" s="36"/>
      <c r="Q37" s="16" t="n">
        <f aca="false">SUM(C37:P37)</f>
        <v>0</v>
      </c>
    </row>
    <row r="38" customFormat="false" ht="16.5" hidden="false" customHeight="true" outlineLevel="0" collapsed="false">
      <c r="A38" s="37" t="s">
        <v>83</v>
      </c>
      <c r="B38" s="31" t="s">
        <v>84</v>
      </c>
      <c r="C38" s="38" t="n">
        <v>1000</v>
      </c>
      <c r="D38" s="28"/>
      <c r="E38" s="28"/>
      <c r="F38" s="28"/>
      <c r="G38" s="28"/>
      <c r="H38" s="28"/>
      <c r="I38" s="28"/>
      <c r="J38" s="28"/>
      <c r="K38" s="29"/>
      <c r="L38" s="29"/>
      <c r="M38" s="29"/>
      <c r="N38" s="29"/>
      <c r="O38" s="29"/>
      <c r="P38" s="29"/>
      <c r="Q38" s="30" t="n">
        <f aca="false">SUM(C38:P38)</f>
        <v>1000</v>
      </c>
    </row>
    <row r="39" customFormat="false" ht="16.5" hidden="false" customHeight="true" outlineLevel="0" collapsed="false">
      <c r="A39" s="37"/>
      <c r="B39" s="31" t="s">
        <v>85</v>
      </c>
      <c r="C39" s="38" t="n">
        <v>1000</v>
      </c>
      <c r="D39" s="28"/>
      <c r="E39" s="28"/>
      <c r="F39" s="28"/>
      <c r="G39" s="28"/>
      <c r="H39" s="28"/>
      <c r="I39" s="28"/>
      <c r="J39" s="28"/>
      <c r="K39" s="29"/>
      <c r="L39" s="29"/>
      <c r="M39" s="29"/>
      <c r="N39" s="29"/>
      <c r="O39" s="29"/>
      <c r="P39" s="29"/>
      <c r="Q39" s="30" t="n">
        <f aca="false">SUM(C39:P39)</f>
        <v>1000</v>
      </c>
    </row>
    <row r="40" customFormat="false" ht="16.5" hidden="false" customHeight="true" outlineLevel="0" collapsed="false">
      <c r="A40" s="37"/>
      <c r="B40" s="31" t="s">
        <v>86</v>
      </c>
      <c r="C40" s="38" t="n">
        <v>1000</v>
      </c>
      <c r="D40" s="28"/>
      <c r="E40" s="28"/>
      <c r="F40" s="28"/>
      <c r="G40" s="28"/>
      <c r="H40" s="28"/>
      <c r="I40" s="28"/>
      <c r="J40" s="28"/>
      <c r="K40" s="29"/>
      <c r="L40" s="29"/>
      <c r="M40" s="29"/>
      <c r="N40" s="29"/>
      <c r="O40" s="29"/>
      <c r="P40" s="29"/>
      <c r="Q40" s="30" t="n">
        <f aca="false">SUM(C40:P40)</f>
        <v>1000</v>
      </c>
    </row>
    <row r="41" customFormat="false" ht="17.25" hidden="false" customHeight="true" outlineLevel="0" collapsed="false">
      <c r="A41" s="37"/>
      <c r="B41" s="31" t="s">
        <v>87</v>
      </c>
      <c r="C41" s="38" t="n">
        <v>1000</v>
      </c>
      <c r="D41" s="28"/>
      <c r="E41" s="28"/>
      <c r="F41" s="28"/>
      <c r="G41" s="28"/>
      <c r="H41" s="28"/>
      <c r="I41" s="28"/>
      <c r="J41" s="28"/>
      <c r="K41" s="29"/>
      <c r="L41" s="29"/>
      <c r="M41" s="29"/>
      <c r="N41" s="29"/>
      <c r="O41" s="29"/>
      <c r="P41" s="29"/>
      <c r="Q41" s="30" t="n">
        <f aca="false">SUM(C41:P41)</f>
        <v>1000</v>
      </c>
    </row>
    <row r="42" customFormat="false" ht="16.5" hidden="false" customHeight="true" outlineLevel="0" collapsed="false">
      <c r="A42" s="37"/>
      <c r="B42" s="31" t="s">
        <v>88</v>
      </c>
      <c r="C42" s="38" t="n">
        <v>500</v>
      </c>
      <c r="D42" s="28"/>
      <c r="E42" s="28"/>
      <c r="F42" s="28"/>
      <c r="G42" s="28"/>
      <c r="H42" s="28"/>
      <c r="I42" s="28"/>
      <c r="J42" s="28"/>
      <c r="K42" s="29"/>
      <c r="L42" s="29"/>
      <c r="M42" s="29"/>
      <c r="N42" s="29"/>
      <c r="O42" s="29"/>
      <c r="P42" s="29"/>
      <c r="Q42" s="30" t="n">
        <f aca="false">SUM(C42:P42)</f>
        <v>500</v>
      </c>
    </row>
    <row r="43" customFormat="false" ht="16.5" hidden="false" customHeight="true" outlineLevel="0" collapsed="false">
      <c r="A43" s="37"/>
      <c r="B43" s="31" t="s">
        <v>89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30" t="n">
        <f aca="false">SUM(C43:P43)</f>
        <v>0</v>
      </c>
    </row>
    <row r="44" customFormat="false" ht="17.25" hidden="false" customHeight="true" outlineLevel="0" collapsed="false">
      <c r="A44" s="37"/>
      <c r="B44" s="31" t="s">
        <v>90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30" t="n">
        <f aca="false">SUM(C44:P44)</f>
        <v>0</v>
      </c>
    </row>
    <row r="45" customFormat="false" ht="17.25" hidden="false" customHeight="true" outlineLevel="0" collapsed="false">
      <c r="A45" s="37"/>
      <c r="B45" s="31" t="s">
        <v>91</v>
      </c>
      <c r="C45" s="28"/>
      <c r="D45" s="28"/>
      <c r="E45" s="39" t="n">
        <v>1000</v>
      </c>
      <c r="F45" s="28"/>
      <c r="G45" s="28"/>
      <c r="H45" s="28"/>
      <c r="I45" s="28"/>
      <c r="J45" s="28"/>
      <c r="K45" s="29"/>
      <c r="L45" s="29"/>
      <c r="M45" s="29"/>
      <c r="N45" s="29"/>
      <c r="O45" s="29"/>
      <c r="P45" s="29"/>
      <c r="Q45" s="30" t="n">
        <f aca="false">SUM(C45:P45)</f>
        <v>1000</v>
      </c>
    </row>
    <row r="46" customFormat="false" ht="16.5" hidden="false" customHeight="true" outlineLevel="0" collapsed="false">
      <c r="A46" s="37"/>
      <c r="B46" s="41" t="s">
        <v>92</v>
      </c>
      <c r="C46" s="38" t="n">
        <v>1000</v>
      </c>
      <c r="D46" s="28"/>
      <c r="E46" s="28"/>
      <c r="F46" s="28"/>
      <c r="G46" s="28"/>
      <c r="H46" s="28"/>
      <c r="I46" s="28"/>
      <c r="J46" s="28"/>
      <c r="K46" s="29"/>
      <c r="L46" s="29"/>
      <c r="M46" s="29"/>
      <c r="N46" s="29"/>
      <c r="O46" s="29"/>
      <c r="P46" s="29"/>
      <c r="Q46" s="30" t="n">
        <f aca="false">SUM(C46:P46)</f>
        <v>1000</v>
      </c>
    </row>
    <row r="47" customFormat="false" ht="16.5" hidden="false" customHeight="true" outlineLevel="0" collapsed="false">
      <c r="A47" s="37"/>
      <c r="B47" s="42" t="s">
        <v>93</v>
      </c>
      <c r="C47" s="38" t="n">
        <v>1000</v>
      </c>
      <c r="D47" s="28"/>
      <c r="E47" s="28"/>
      <c r="F47" s="28"/>
      <c r="G47" s="28"/>
      <c r="H47" s="28"/>
      <c r="I47" s="28"/>
      <c r="J47" s="28"/>
      <c r="K47" s="29"/>
      <c r="L47" s="29"/>
      <c r="M47" s="29"/>
      <c r="N47" s="32" t="n">
        <v>2000</v>
      </c>
      <c r="O47" s="29"/>
      <c r="P47" s="29"/>
      <c r="Q47" s="30" t="n">
        <f aca="false">SUM(C47:P47)</f>
        <v>3000</v>
      </c>
    </row>
    <row r="48" customFormat="false" ht="16.5" hidden="false" customHeight="true" outlineLevel="0" collapsed="false">
      <c r="A48" s="37"/>
      <c r="B48" s="27" t="s">
        <v>94</v>
      </c>
      <c r="C48" s="38" t="n">
        <v>1000</v>
      </c>
      <c r="D48" s="28"/>
      <c r="E48" s="28"/>
      <c r="F48" s="28"/>
      <c r="G48" s="28"/>
      <c r="H48" s="38" t="n">
        <v>2000</v>
      </c>
      <c r="I48" s="28"/>
      <c r="J48" s="28"/>
      <c r="K48" s="29"/>
      <c r="L48" s="29"/>
      <c r="M48" s="29"/>
      <c r="N48" s="29"/>
      <c r="O48" s="33" t="n">
        <v>2000</v>
      </c>
      <c r="P48" s="29"/>
      <c r="Q48" s="30" t="n">
        <f aca="false">SUM(C48:P48)</f>
        <v>5000</v>
      </c>
    </row>
    <row r="49" customFormat="false" ht="16.5" hidden="false" customHeight="true" outlineLevel="0" collapsed="false">
      <c r="A49" s="37"/>
      <c r="B49" s="27" t="s">
        <v>95</v>
      </c>
      <c r="C49" s="28"/>
      <c r="D49" s="28"/>
      <c r="E49" s="28"/>
      <c r="F49" s="28"/>
      <c r="G49" s="28"/>
      <c r="H49" s="28"/>
      <c r="I49" s="28"/>
      <c r="J49" s="28"/>
      <c r="K49" s="29"/>
      <c r="L49" s="29"/>
      <c r="M49" s="29"/>
      <c r="N49" s="29"/>
      <c r="O49" s="29"/>
      <c r="P49" s="29"/>
      <c r="Q49" s="30" t="n">
        <f aca="false">SUM(C49:P49)</f>
        <v>0</v>
      </c>
    </row>
    <row r="50" customFormat="false" ht="16.5" hidden="false" customHeight="true" outlineLevel="0" collapsed="false">
      <c r="A50" s="37"/>
      <c r="B50" s="34" t="s">
        <v>82</v>
      </c>
      <c r="C50" s="35"/>
      <c r="D50" s="35"/>
      <c r="E50" s="35"/>
      <c r="F50" s="35"/>
      <c r="G50" s="35"/>
      <c r="H50" s="35"/>
      <c r="I50" s="35"/>
      <c r="J50" s="35"/>
      <c r="K50" s="36"/>
      <c r="L50" s="36"/>
      <c r="M50" s="14" t="n">
        <v>2000</v>
      </c>
      <c r="N50" s="36"/>
      <c r="O50" s="36"/>
      <c r="P50" s="36"/>
      <c r="Q50" s="16" t="n">
        <f aca="false">SUM(C50:P50)</f>
        <v>2000</v>
      </c>
    </row>
    <row r="51" customFormat="false" ht="16.5" hidden="false" customHeight="true" outlineLevel="0" collapsed="false">
      <c r="A51" s="37" t="s">
        <v>96</v>
      </c>
      <c r="B51" s="31" t="s">
        <v>97</v>
      </c>
      <c r="C51" s="28"/>
      <c r="D51" s="28"/>
      <c r="E51" s="28"/>
      <c r="F51" s="28"/>
      <c r="G51" s="28"/>
      <c r="H51" s="28"/>
      <c r="I51" s="28"/>
      <c r="J51" s="28"/>
      <c r="K51" s="29"/>
      <c r="L51" s="29"/>
      <c r="M51" s="29"/>
      <c r="N51" s="29"/>
      <c r="O51" s="29"/>
      <c r="P51" s="29"/>
      <c r="Q51" s="30" t="n">
        <f aca="false">SUM(C51:P51)</f>
        <v>0</v>
      </c>
    </row>
    <row r="52" customFormat="false" ht="16.5" hidden="false" customHeight="true" outlineLevel="0" collapsed="false">
      <c r="A52" s="37"/>
      <c r="B52" s="31" t="s">
        <v>98</v>
      </c>
      <c r="C52" s="28"/>
      <c r="D52" s="28"/>
      <c r="E52" s="28"/>
      <c r="F52" s="28"/>
      <c r="G52" s="28"/>
      <c r="H52" s="28"/>
      <c r="I52" s="28"/>
      <c r="J52" s="28"/>
      <c r="K52" s="29"/>
      <c r="L52" s="29"/>
      <c r="M52" s="29"/>
      <c r="N52" s="29"/>
      <c r="O52" s="29"/>
      <c r="P52" s="29"/>
      <c r="Q52" s="30" t="n">
        <f aca="false">SUM(C52:P52)</f>
        <v>0</v>
      </c>
    </row>
    <row r="53" customFormat="false" ht="16.5" hidden="false" customHeight="true" outlineLevel="0" collapsed="false">
      <c r="A53" s="37"/>
      <c r="B53" s="31" t="s">
        <v>99</v>
      </c>
      <c r="C53" s="28"/>
      <c r="D53" s="28"/>
      <c r="E53" s="28"/>
      <c r="F53" s="28"/>
      <c r="G53" s="28"/>
      <c r="H53" s="28"/>
      <c r="I53" s="28"/>
      <c r="J53" s="28"/>
      <c r="K53" s="29"/>
      <c r="L53" s="29"/>
      <c r="M53" s="29"/>
      <c r="N53" s="29"/>
      <c r="O53" s="29"/>
      <c r="P53" s="29"/>
      <c r="Q53" s="30" t="n">
        <f aca="false">SUM(C53:P53)</f>
        <v>0</v>
      </c>
    </row>
    <row r="54" customFormat="false" ht="16.5" hidden="false" customHeight="true" outlineLevel="0" collapsed="false">
      <c r="A54" s="37"/>
      <c r="B54" s="31" t="s">
        <v>100</v>
      </c>
      <c r="C54" s="28"/>
      <c r="D54" s="28"/>
      <c r="E54" s="28"/>
      <c r="F54" s="28"/>
      <c r="G54" s="28"/>
      <c r="H54" s="28"/>
      <c r="I54" s="28"/>
      <c r="J54" s="28"/>
      <c r="K54" s="29"/>
      <c r="L54" s="29"/>
      <c r="M54" s="29"/>
      <c r="N54" s="29"/>
      <c r="O54" s="29"/>
      <c r="P54" s="29"/>
      <c r="Q54" s="30" t="n">
        <f aca="false">SUM(C54:P54)</f>
        <v>0</v>
      </c>
    </row>
    <row r="55" customFormat="false" ht="16.5" hidden="false" customHeight="true" outlineLevel="0" collapsed="false">
      <c r="A55" s="37"/>
      <c r="B55" s="31" t="s">
        <v>101</v>
      </c>
      <c r="C55" s="28"/>
      <c r="D55" s="28"/>
      <c r="E55" s="28"/>
      <c r="F55" s="28"/>
      <c r="G55" s="28"/>
      <c r="H55" s="28"/>
      <c r="I55" s="28"/>
      <c r="J55" s="28"/>
      <c r="K55" s="29"/>
      <c r="L55" s="29"/>
      <c r="M55" s="29"/>
      <c r="N55" s="29"/>
      <c r="O55" s="29"/>
      <c r="P55" s="29"/>
      <c r="Q55" s="30" t="n">
        <f aca="false">SUM(C55:P55)</f>
        <v>0</v>
      </c>
    </row>
    <row r="56" customFormat="false" ht="16.5" hidden="false" customHeight="true" outlineLevel="0" collapsed="false">
      <c r="A56" s="37"/>
      <c r="B56" s="31" t="s">
        <v>102</v>
      </c>
      <c r="C56" s="28"/>
      <c r="D56" s="28"/>
      <c r="E56" s="28"/>
      <c r="F56" s="28"/>
      <c r="G56" s="28"/>
      <c r="H56" s="28"/>
      <c r="I56" s="28"/>
      <c r="J56" s="39" t="n">
        <v>20</v>
      </c>
      <c r="K56" s="29"/>
      <c r="L56" s="29"/>
      <c r="M56" s="29"/>
      <c r="N56" s="29"/>
      <c r="O56" s="29"/>
      <c r="P56" s="29"/>
      <c r="Q56" s="30" t="n">
        <f aca="false">IF(COUNT(C56:P56)=0,0,MAX(C56:P56))</f>
        <v>20</v>
      </c>
    </row>
    <row r="57" customFormat="false" ht="16.5" hidden="false" customHeight="true" outlineLevel="0" collapsed="false">
      <c r="A57" s="37"/>
      <c r="B57" s="31" t="s">
        <v>103</v>
      </c>
      <c r="C57" s="28"/>
      <c r="D57" s="28"/>
      <c r="E57" s="28"/>
      <c r="F57" s="28"/>
      <c r="G57" s="28"/>
      <c r="H57" s="28"/>
      <c r="I57" s="28"/>
      <c r="J57" s="28"/>
      <c r="K57" s="29"/>
      <c r="L57" s="29"/>
      <c r="M57" s="29"/>
      <c r="N57" s="29"/>
      <c r="O57" s="29"/>
      <c r="P57" s="29"/>
      <c r="Q57" s="30" t="n">
        <f aca="false">SUM(C57:P57)</f>
        <v>0</v>
      </c>
    </row>
    <row r="58" customFormat="false" ht="16.5" hidden="false" customHeight="true" outlineLevel="0" collapsed="false">
      <c r="A58" s="37"/>
      <c r="B58" s="31" t="s">
        <v>104</v>
      </c>
      <c r="C58" s="28"/>
      <c r="D58" s="28"/>
      <c r="E58" s="28"/>
      <c r="F58" s="28"/>
      <c r="G58" s="28"/>
      <c r="H58" s="28"/>
      <c r="I58" s="28"/>
      <c r="J58" s="38" t="n">
        <v>7</v>
      </c>
      <c r="K58" s="29"/>
      <c r="L58" s="29"/>
      <c r="M58" s="29"/>
      <c r="N58" s="29"/>
      <c r="O58" s="29"/>
      <c r="P58" s="29"/>
      <c r="Q58" s="30" t="n">
        <f aca="false">IF(COUNT(C58:P58)=0,0,MAX(C58:P58))</f>
        <v>7</v>
      </c>
    </row>
    <row r="59" customFormat="false" ht="16.5" hidden="false" customHeight="true" outlineLevel="0" collapsed="false">
      <c r="A59" s="37"/>
      <c r="B59" s="41" t="s">
        <v>105</v>
      </c>
      <c r="C59" s="28"/>
      <c r="D59" s="28"/>
      <c r="E59" s="28"/>
      <c r="F59" s="28"/>
      <c r="G59" s="28"/>
      <c r="H59" s="28"/>
      <c r="I59" s="28"/>
      <c r="J59" s="28"/>
      <c r="K59" s="29"/>
      <c r="L59" s="29"/>
      <c r="M59" s="29"/>
      <c r="N59" s="29"/>
      <c r="O59" s="29"/>
      <c r="P59" s="29"/>
      <c r="Q59" s="30" t="n">
        <f aca="false">SUM(C59:P59)</f>
        <v>0</v>
      </c>
    </row>
    <row r="60" customFormat="false" ht="16.5" hidden="false" customHeight="true" outlineLevel="0" collapsed="false">
      <c r="A60" s="37"/>
      <c r="B60" s="41" t="s">
        <v>106</v>
      </c>
      <c r="C60" s="28"/>
      <c r="D60" s="28"/>
      <c r="E60" s="28"/>
      <c r="F60" s="28"/>
      <c r="G60" s="28"/>
      <c r="H60" s="28"/>
      <c r="I60" s="28"/>
      <c r="J60" s="28"/>
      <c r="K60" s="29"/>
      <c r="L60" s="29"/>
      <c r="M60" s="29"/>
      <c r="N60" s="29"/>
      <c r="O60" s="29"/>
      <c r="P60" s="29"/>
      <c r="Q60" s="30" t="n">
        <f aca="false">SUM(C60:P60)</f>
        <v>0</v>
      </c>
    </row>
    <row r="61" customFormat="false" ht="16.5" hidden="false" customHeight="true" outlineLevel="0" collapsed="false">
      <c r="A61" s="37"/>
      <c r="B61" s="31" t="s">
        <v>107</v>
      </c>
      <c r="C61" s="28"/>
      <c r="D61" s="28"/>
      <c r="E61" s="28"/>
      <c r="F61" s="28"/>
      <c r="G61" s="28"/>
      <c r="H61" s="28"/>
      <c r="I61" s="28"/>
      <c r="J61" s="28"/>
      <c r="K61" s="29"/>
      <c r="L61" s="29"/>
      <c r="M61" s="29"/>
      <c r="N61" s="29"/>
      <c r="O61" s="29"/>
      <c r="P61" s="29"/>
      <c r="Q61" s="30" t="n">
        <f aca="false">SUM(C61:P61)</f>
        <v>0</v>
      </c>
    </row>
    <row r="62" customFormat="false" ht="17.25" hidden="false" customHeight="true" outlineLevel="0" collapsed="false">
      <c r="A62" s="37"/>
      <c r="B62" s="34" t="s">
        <v>108</v>
      </c>
      <c r="C62" s="35"/>
      <c r="D62" s="35"/>
      <c r="E62" s="35"/>
      <c r="F62" s="35"/>
      <c r="G62" s="35"/>
      <c r="H62" s="35"/>
      <c r="I62" s="35"/>
      <c r="J62" s="35"/>
      <c r="K62" s="36"/>
      <c r="L62" s="36"/>
      <c r="M62" s="36"/>
      <c r="N62" s="36"/>
      <c r="O62" s="36"/>
      <c r="P62" s="36"/>
      <c r="Q62" s="16" t="n">
        <f aca="false">SUM(C62:P62)</f>
        <v>0</v>
      </c>
    </row>
    <row r="63" customFormat="false" ht="17.25" hidden="false" customHeight="true" outlineLevel="0" collapsed="false">
      <c r="A63" s="37" t="s">
        <v>109</v>
      </c>
      <c r="B63" s="31" t="s">
        <v>110</v>
      </c>
      <c r="C63" s="28"/>
      <c r="D63" s="28"/>
      <c r="E63" s="28"/>
      <c r="F63" s="28"/>
      <c r="G63" s="38" t="n">
        <v>100</v>
      </c>
      <c r="H63" s="38" t="n">
        <v>30</v>
      </c>
      <c r="I63" s="28"/>
      <c r="J63" s="28"/>
      <c r="K63" s="29"/>
      <c r="L63" s="29"/>
      <c r="M63" s="29"/>
      <c r="N63" s="29"/>
      <c r="O63" s="29"/>
      <c r="P63" s="29"/>
      <c r="Q63" s="30" t="n">
        <f aca="false">SUM(C63:P63)</f>
        <v>130</v>
      </c>
    </row>
    <row r="64" customFormat="false" ht="16.5" hidden="false" customHeight="true" outlineLevel="0" collapsed="false">
      <c r="A64" s="37"/>
      <c r="B64" s="31" t="s">
        <v>111</v>
      </c>
      <c r="C64" s="28"/>
      <c r="D64" s="28"/>
      <c r="E64" s="28"/>
      <c r="F64" s="28"/>
      <c r="G64" s="28"/>
      <c r="H64" s="28"/>
      <c r="I64" s="28"/>
      <c r="J64" s="28"/>
      <c r="K64" s="29"/>
      <c r="L64" s="29"/>
      <c r="M64" s="29"/>
      <c r="N64" s="29"/>
      <c r="O64" s="29"/>
      <c r="P64" s="29"/>
      <c r="Q64" s="30" t="n">
        <f aca="false">SUM(C64:P64)</f>
        <v>0</v>
      </c>
    </row>
    <row r="65" customFormat="false" ht="16.5" hidden="false" customHeight="true" outlineLevel="0" collapsed="false">
      <c r="A65" s="37"/>
      <c r="B65" s="31" t="s">
        <v>112</v>
      </c>
      <c r="C65" s="28"/>
      <c r="D65" s="28"/>
      <c r="E65" s="28"/>
      <c r="F65" s="40"/>
      <c r="G65" s="43" t="s">
        <v>113</v>
      </c>
      <c r="H65" s="28"/>
      <c r="I65" s="28"/>
      <c r="J65" s="28"/>
      <c r="K65" s="29"/>
      <c r="L65" s="29"/>
      <c r="M65" s="29"/>
      <c r="N65" s="29"/>
      <c r="O65" s="29"/>
      <c r="P65" s="29"/>
      <c r="Q65" s="44" t="s">
        <v>113</v>
      </c>
    </row>
    <row r="66" customFormat="false" ht="16.5" hidden="false" customHeight="true" outlineLevel="0" collapsed="false">
      <c r="A66" s="37"/>
      <c r="B66" s="31" t="s">
        <v>114</v>
      </c>
      <c r="C66" s="28"/>
      <c r="D66" s="28"/>
      <c r="E66" s="28"/>
      <c r="F66" s="40"/>
      <c r="G66" s="28"/>
      <c r="H66" s="28"/>
      <c r="I66" s="28"/>
      <c r="J66" s="28"/>
      <c r="K66" s="29"/>
      <c r="L66" s="29"/>
      <c r="M66" s="29"/>
      <c r="N66" s="29"/>
      <c r="O66" s="29"/>
      <c r="P66" s="29"/>
      <c r="Q66" s="30" t="n">
        <f aca="false">SUM(C66:P66)</f>
        <v>0</v>
      </c>
    </row>
    <row r="67" customFormat="false" ht="16.5" hidden="false" customHeight="true" outlineLevel="0" collapsed="false">
      <c r="A67" s="37"/>
      <c r="B67" s="31" t="s">
        <v>115</v>
      </c>
      <c r="C67" s="28"/>
      <c r="D67" s="28"/>
      <c r="E67" s="28"/>
      <c r="F67" s="28"/>
      <c r="G67" s="28"/>
      <c r="H67" s="28"/>
      <c r="I67" s="28"/>
      <c r="J67" s="28"/>
      <c r="K67" s="29"/>
      <c r="L67" s="29"/>
      <c r="M67" s="29"/>
      <c r="N67" s="29"/>
      <c r="O67" s="29"/>
      <c r="P67" s="29"/>
      <c r="Q67" s="30" t="n">
        <f aca="false">SUM(C67:P67)</f>
        <v>0</v>
      </c>
    </row>
    <row r="68" customFormat="false" ht="17.25" hidden="false" customHeight="true" outlineLevel="0" collapsed="false">
      <c r="A68" s="37"/>
      <c r="B68" s="31" t="s">
        <v>116</v>
      </c>
      <c r="C68" s="28"/>
      <c r="D68" s="28"/>
      <c r="E68" s="28"/>
      <c r="F68" s="28"/>
      <c r="G68" s="28"/>
      <c r="H68" s="28"/>
      <c r="I68" s="28"/>
      <c r="J68" s="28"/>
      <c r="K68" s="29"/>
      <c r="L68" s="29"/>
      <c r="M68" s="29"/>
      <c r="N68" s="29"/>
      <c r="O68" s="29"/>
      <c r="P68" s="29"/>
      <c r="Q68" s="30" t="n">
        <f aca="false">SUM(C68:P68)</f>
        <v>0</v>
      </c>
    </row>
    <row r="69" customFormat="false" ht="16.5" hidden="false" customHeight="true" outlineLevel="0" collapsed="false">
      <c r="A69" s="37"/>
      <c r="B69" s="41" t="s">
        <v>117</v>
      </c>
      <c r="C69" s="28"/>
      <c r="D69" s="28"/>
      <c r="E69" s="28"/>
      <c r="F69" s="28"/>
      <c r="G69" s="28"/>
      <c r="H69" s="28"/>
      <c r="I69" s="28"/>
      <c r="J69" s="28"/>
      <c r="K69" s="29"/>
      <c r="L69" s="29"/>
      <c r="M69" s="29"/>
      <c r="N69" s="29"/>
      <c r="O69" s="29"/>
      <c r="P69" s="29"/>
      <c r="Q69" s="30" t="n">
        <f aca="false">SUM(C69:P69)</f>
        <v>0</v>
      </c>
    </row>
    <row r="70" customFormat="false" ht="16.5" hidden="false" customHeight="true" outlineLevel="0" collapsed="false">
      <c r="A70" s="37"/>
      <c r="B70" s="31" t="s">
        <v>118</v>
      </c>
      <c r="C70" s="28"/>
      <c r="D70" s="28"/>
      <c r="E70" s="28"/>
      <c r="F70" s="28"/>
      <c r="G70" s="28"/>
      <c r="H70" s="28"/>
      <c r="I70" s="28"/>
      <c r="J70" s="28"/>
      <c r="K70" s="29"/>
      <c r="L70" s="29"/>
      <c r="M70" s="29"/>
      <c r="N70" s="29"/>
      <c r="O70" s="29"/>
      <c r="P70" s="29"/>
      <c r="Q70" s="30" t="n">
        <f aca="false">SUM(C70:P70)</f>
        <v>0</v>
      </c>
    </row>
    <row r="71" customFormat="false" ht="16.5" hidden="false" customHeight="true" outlineLevel="0" collapsed="false">
      <c r="A71" s="37"/>
      <c r="B71" s="45" t="s">
        <v>119</v>
      </c>
      <c r="C71" s="24"/>
      <c r="D71" s="24"/>
      <c r="E71" s="24"/>
      <c r="F71" s="24"/>
      <c r="G71" s="24"/>
      <c r="H71" s="46" t="n">
        <v>30</v>
      </c>
      <c r="I71" s="46" t="n">
        <v>30</v>
      </c>
      <c r="J71" s="24"/>
      <c r="K71" s="25"/>
      <c r="L71" s="25"/>
      <c r="M71" s="25"/>
      <c r="N71" s="25"/>
      <c r="O71" s="25"/>
      <c r="P71" s="25"/>
      <c r="Q71" s="26" t="n">
        <f aca="false">SUM(C71:P71)</f>
        <v>60</v>
      </c>
    </row>
    <row r="72" customFormat="false" ht="16.5" hidden="false" customHeight="true" outlineLevel="0" collapsed="false">
      <c r="A72" s="37"/>
      <c r="B72" s="31" t="s">
        <v>120</v>
      </c>
      <c r="C72" s="28"/>
      <c r="D72" s="28"/>
      <c r="E72" s="28"/>
      <c r="F72" s="40"/>
      <c r="G72" s="28"/>
      <c r="H72" s="28"/>
      <c r="I72" s="43" t="s">
        <v>121</v>
      </c>
      <c r="J72" s="28"/>
      <c r="K72" s="29"/>
      <c r="L72" s="29"/>
      <c r="M72" s="29"/>
      <c r="N72" s="29"/>
      <c r="O72" s="29"/>
      <c r="P72" s="29"/>
      <c r="Q72" s="44" t="s">
        <v>121</v>
      </c>
    </row>
    <row r="73" customFormat="false" ht="16.5" hidden="false" customHeight="true" outlineLevel="0" collapsed="false">
      <c r="A73" s="37"/>
      <c r="B73" s="31" t="s">
        <v>122</v>
      </c>
      <c r="C73" s="28"/>
      <c r="D73" s="28"/>
      <c r="E73" s="28"/>
      <c r="F73" s="40"/>
      <c r="G73" s="28"/>
      <c r="H73" s="28"/>
      <c r="I73" s="28"/>
      <c r="J73" s="28"/>
      <c r="K73" s="29"/>
      <c r="L73" s="29"/>
      <c r="M73" s="29"/>
      <c r="N73" s="29"/>
      <c r="O73" s="29"/>
      <c r="P73" s="29"/>
      <c r="Q73" s="30" t="n">
        <f aca="false">SUM(C73:P73)</f>
        <v>0</v>
      </c>
    </row>
    <row r="74" customFormat="false" ht="16.5" hidden="false" customHeight="true" outlineLevel="0" collapsed="false">
      <c r="A74" s="37"/>
      <c r="B74" s="31" t="s">
        <v>123</v>
      </c>
      <c r="C74" s="28"/>
      <c r="D74" s="28"/>
      <c r="E74" s="28"/>
      <c r="F74" s="28"/>
      <c r="G74" s="28"/>
      <c r="H74" s="28"/>
      <c r="I74" s="28"/>
      <c r="J74" s="28"/>
      <c r="K74" s="29"/>
      <c r="L74" s="29"/>
      <c r="M74" s="29"/>
      <c r="N74" s="29"/>
      <c r="O74" s="29"/>
      <c r="P74" s="29"/>
      <c r="Q74" s="30" t="n">
        <f aca="false">SUM(C74:P74)</f>
        <v>0</v>
      </c>
    </row>
    <row r="75" customFormat="false" ht="16.5" hidden="false" customHeight="true" outlineLevel="0" collapsed="false">
      <c r="A75" s="37"/>
      <c r="B75" s="31" t="s">
        <v>124</v>
      </c>
      <c r="C75" s="28"/>
      <c r="D75" s="28"/>
      <c r="E75" s="28"/>
      <c r="F75" s="28"/>
      <c r="G75" s="28"/>
      <c r="H75" s="28"/>
      <c r="I75" s="28"/>
      <c r="J75" s="28"/>
      <c r="K75" s="29"/>
      <c r="L75" s="29"/>
      <c r="M75" s="29"/>
      <c r="N75" s="29"/>
      <c r="O75" s="29"/>
      <c r="P75" s="29"/>
      <c r="Q75" s="30" t="n">
        <f aca="false">SUM(C75:P75)</f>
        <v>0</v>
      </c>
    </row>
    <row r="76" customFormat="false" ht="17.25" hidden="false" customHeight="true" outlineLevel="0" collapsed="false">
      <c r="A76" s="37"/>
      <c r="B76" s="31" t="s">
        <v>125</v>
      </c>
      <c r="C76" s="28"/>
      <c r="D76" s="28"/>
      <c r="E76" s="28"/>
      <c r="F76" s="28"/>
      <c r="G76" s="28"/>
      <c r="H76" s="28"/>
      <c r="I76" s="28"/>
      <c r="J76" s="28"/>
      <c r="K76" s="29"/>
      <c r="L76" s="29"/>
      <c r="M76" s="29"/>
      <c r="N76" s="29"/>
      <c r="O76" s="29"/>
      <c r="P76" s="29"/>
      <c r="Q76" s="30" t="n">
        <f aca="false">SUM(C76:P76)</f>
        <v>0</v>
      </c>
    </row>
    <row r="77" customFormat="false" ht="16.5" hidden="false" customHeight="true" outlineLevel="0" collapsed="false">
      <c r="A77" s="37"/>
      <c r="B77" s="41" t="s">
        <v>126</v>
      </c>
      <c r="C77" s="28"/>
      <c r="D77" s="28"/>
      <c r="E77" s="28"/>
      <c r="F77" s="28"/>
      <c r="G77" s="28"/>
      <c r="H77" s="38" t="n">
        <v>150</v>
      </c>
      <c r="I77" s="28"/>
      <c r="J77" s="28"/>
      <c r="K77" s="29"/>
      <c r="L77" s="29"/>
      <c r="M77" s="29"/>
      <c r="N77" s="29"/>
      <c r="O77" s="29"/>
      <c r="P77" s="29"/>
      <c r="Q77" s="44" t="s">
        <v>127</v>
      </c>
    </row>
    <row r="78" customFormat="false" ht="16.5" hidden="false" customHeight="true" outlineLevel="0" collapsed="false">
      <c r="A78" s="37"/>
      <c r="B78" s="41" t="s">
        <v>128</v>
      </c>
      <c r="C78" s="28"/>
      <c r="D78" s="28"/>
      <c r="E78" s="28"/>
      <c r="F78" s="28"/>
      <c r="G78" s="28"/>
      <c r="H78" s="28"/>
      <c r="I78" s="28"/>
      <c r="J78" s="28"/>
      <c r="K78" s="29"/>
      <c r="L78" s="29"/>
      <c r="M78" s="29"/>
      <c r="N78" s="29"/>
      <c r="O78" s="29"/>
      <c r="P78" s="29"/>
      <c r="Q78" s="30" t="n">
        <f aca="false">SUM(C78:P78)</f>
        <v>0</v>
      </c>
    </row>
    <row r="79" customFormat="false" ht="17.25" hidden="false" customHeight="true" outlineLevel="0" collapsed="false">
      <c r="A79" s="37"/>
      <c r="B79" s="47" t="s">
        <v>129</v>
      </c>
      <c r="C79" s="35"/>
      <c r="D79" s="35"/>
      <c r="E79" s="35"/>
      <c r="F79" s="35"/>
      <c r="G79" s="35"/>
      <c r="H79" s="35"/>
      <c r="I79" s="35"/>
      <c r="J79" s="35"/>
      <c r="K79" s="36"/>
      <c r="L79" s="36"/>
      <c r="M79" s="36"/>
      <c r="N79" s="36"/>
      <c r="O79" s="36"/>
      <c r="P79" s="36"/>
      <c r="Q79" s="16" t="n">
        <f aca="false">SUM(C79:P79)</f>
        <v>0</v>
      </c>
    </row>
    <row r="80" customFormat="false" ht="17.25" hidden="false" customHeight="true" outlineLevel="0" collapsed="false">
      <c r="A80" s="37" t="s">
        <v>130</v>
      </c>
      <c r="B80" s="31" t="s">
        <v>131</v>
      </c>
      <c r="C80" s="28"/>
      <c r="D80" s="28"/>
      <c r="E80" s="28"/>
      <c r="F80" s="28"/>
      <c r="G80" s="28"/>
      <c r="H80" s="28"/>
      <c r="I80" s="28"/>
      <c r="J80" s="28"/>
      <c r="K80" s="29"/>
      <c r="L80" s="29"/>
      <c r="M80" s="29"/>
      <c r="N80" s="29"/>
      <c r="O80" s="29"/>
      <c r="P80" s="29"/>
      <c r="Q80" s="30" t="n">
        <f aca="false">SUM(C80:P80)</f>
        <v>0</v>
      </c>
    </row>
    <row r="81" customFormat="false" ht="17.25" hidden="false" customHeight="true" outlineLevel="0" collapsed="false">
      <c r="A81" s="37"/>
      <c r="B81" s="31" t="s">
        <v>132</v>
      </c>
      <c r="C81" s="28"/>
      <c r="D81" s="28"/>
      <c r="E81" s="28"/>
      <c r="F81" s="28"/>
      <c r="G81" s="28"/>
      <c r="H81" s="28"/>
      <c r="I81" s="28"/>
      <c r="J81" s="28"/>
      <c r="K81" s="29"/>
      <c r="L81" s="29"/>
      <c r="M81" s="29"/>
      <c r="N81" s="29"/>
      <c r="O81" s="29"/>
      <c r="P81" s="29"/>
      <c r="Q81" s="30" t="n">
        <f aca="false">SUM(C81:P81)</f>
        <v>0</v>
      </c>
    </row>
    <row r="82" customFormat="false" ht="16.5" hidden="false" customHeight="true" outlineLevel="0" collapsed="false">
      <c r="A82" s="37"/>
      <c r="B82" s="31" t="s">
        <v>133</v>
      </c>
      <c r="C82" s="28"/>
      <c r="D82" s="28"/>
      <c r="E82" s="28"/>
      <c r="F82" s="28"/>
      <c r="G82" s="28"/>
      <c r="H82" s="28"/>
      <c r="I82" s="28"/>
      <c r="J82" s="28"/>
      <c r="K82" s="29"/>
      <c r="L82" s="29"/>
      <c r="M82" s="29"/>
      <c r="N82" s="29"/>
      <c r="O82" s="29"/>
      <c r="P82" s="29"/>
      <c r="Q82" s="30" t="n">
        <f aca="false">SUM(C82:P82)</f>
        <v>0</v>
      </c>
    </row>
    <row r="83" customFormat="false" ht="17.25" hidden="false" customHeight="true" outlineLevel="0" collapsed="false">
      <c r="A83" s="37"/>
      <c r="B83" s="41" t="s">
        <v>134</v>
      </c>
      <c r="C83" s="28"/>
      <c r="D83" s="28"/>
      <c r="E83" s="28"/>
      <c r="F83" s="28"/>
      <c r="G83" s="28"/>
      <c r="H83" s="28"/>
      <c r="I83" s="28"/>
      <c r="J83" s="28"/>
      <c r="K83" s="29"/>
      <c r="L83" s="29"/>
      <c r="M83" s="29"/>
      <c r="N83" s="29"/>
      <c r="O83" s="29"/>
      <c r="P83" s="29"/>
      <c r="Q83" s="30" t="n">
        <f aca="false">SUM(C83:P83)</f>
        <v>0</v>
      </c>
    </row>
    <row r="84" customFormat="false" ht="16.5" hidden="false" customHeight="true" outlineLevel="0" collapsed="false">
      <c r="A84" s="37"/>
      <c r="B84" s="31" t="s">
        <v>135</v>
      </c>
      <c r="C84" s="28"/>
      <c r="D84" s="28"/>
      <c r="E84" s="28"/>
      <c r="F84" s="28"/>
      <c r="G84" s="28"/>
      <c r="H84" s="28"/>
      <c r="I84" s="28"/>
      <c r="J84" s="28"/>
      <c r="K84" s="29"/>
      <c r="L84" s="29"/>
      <c r="M84" s="29"/>
      <c r="N84" s="29"/>
      <c r="O84" s="29"/>
      <c r="P84" s="29"/>
      <c r="Q84" s="30" t="n">
        <f aca="false">SUM(C84:P84)</f>
        <v>0</v>
      </c>
    </row>
    <row r="85" customFormat="false" ht="17.25" hidden="false" customHeight="true" outlineLevel="0" collapsed="false">
      <c r="A85" s="37"/>
      <c r="B85" s="34" t="s">
        <v>136</v>
      </c>
      <c r="C85" s="35"/>
      <c r="D85" s="35"/>
      <c r="E85" s="35"/>
      <c r="F85" s="35"/>
      <c r="G85" s="35"/>
      <c r="H85" s="35"/>
      <c r="I85" s="35"/>
      <c r="J85" s="35"/>
      <c r="K85" s="36"/>
      <c r="L85" s="36"/>
      <c r="M85" s="36"/>
      <c r="N85" s="36"/>
      <c r="O85" s="36"/>
      <c r="P85" s="36"/>
      <c r="Q85" s="16" t="n">
        <f aca="false">MIN(SUM(C85:P85),80)</f>
        <v>0</v>
      </c>
    </row>
    <row r="86" customFormat="false" ht="16.5" hidden="false" customHeight="true" outlineLevel="0" collapsed="false">
      <c r="A86" s="37" t="s">
        <v>137</v>
      </c>
      <c r="B86" s="31" t="s">
        <v>138</v>
      </c>
      <c r="C86" s="28"/>
      <c r="D86" s="28"/>
      <c r="E86" s="28"/>
      <c r="F86" s="28"/>
      <c r="G86" s="28"/>
      <c r="H86" s="28"/>
      <c r="I86" s="28"/>
      <c r="J86" s="28"/>
      <c r="K86" s="29"/>
      <c r="L86" s="29"/>
      <c r="M86" s="29"/>
      <c r="N86" s="29"/>
      <c r="O86" s="29"/>
      <c r="P86" s="29"/>
      <c r="Q86" s="30" t="n">
        <f aca="false">SUM(C86:P86)</f>
        <v>0</v>
      </c>
    </row>
    <row r="87" customFormat="false" ht="16.5" hidden="false" customHeight="true" outlineLevel="0" collapsed="false">
      <c r="A87" s="37"/>
      <c r="B87" s="31" t="s">
        <v>139</v>
      </c>
      <c r="C87" s="28"/>
      <c r="D87" s="28"/>
      <c r="E87" s="28"/>
      <c r="F87" s="28"/>
      <c r="G87" s="28"/>
      <c r="H87" s="38" t="n">
        <v>20</v>
      </c>
      <c r="I87" s="28"/>
      <c r="J87" s="28"/>
      <c r="K87" s="29"/>
      <c r="L87" s="29"/>
      <c r="M87" s="29"/>
      <c r="N87" s="29"/>
      <c r="O87" s="29"/>
      <c r="P87" s="29"/>
      <c r="Q87" s="30" t="n">
        <f aca="false">SUM(C87:P87)</f>
        <v>20</v>
      </c>
    </row>
    <row r="88" customFormat="false" ht="17.25" hidden="false" customHeight="true" outlineLevel="0" collapsed="false">
      <c r="A88" s="37"/>
      <c r="B88" s="47" t="s">
        <v>140</v>
      </c>
      <c r="C88" s="35"/>
      <c r="D88" s="35"/>
      <c r="E88" s="35"/>
      <c r="F88" s="35"/>
      <c r="G88" s="35"/>
      <c r="H88" s="35"/>
      <c r="I88" s="35"/>
      <c r="J88" s="35"/>
      <c r="K88" s="36"/>
      <c r="L88" s="36"/>
      <c r="M88" s="36"/>
      <c r="N88" s="36"/>
      <c r="O88" s="36"/>
      <c r="P88" s="36"/>
      <c r="Q88" s="16" t="n">
        <f aca="false">SUM(C88:P88)</f>
        <v>0</v>
      </c>
    </row>
    <row r="89" customFormat="false" ht="17.25" hidden="false" customHeight="true" outlineLevel="0" collapsed="false">
      <c r="A89" s="37" t="s">
        <v>141</v>
      </c>
      <c r="B89" s="34" t="s">
        <v>142</v>
      </c>
      <c r="C89" s="35"/>
      <c r="D89" s="35"/>
      <c r="E89" s="35"/>
      <c r="F89" s="35"/>
      <c r="G89" s="35"/>
      <c r="H89" s="35"/>
      <c r="I89" s="35"/>
      <c r="J89" s="35"/>
      <c r="K89" s="36"/>
      <c r="L89" s="36"/>
      <c r="M89" s="36"/>
      <c r="N89" s="36"/>
      <c r="O89" s="36"/>
      <c r="P89" s="36"/>
      <c r="Q89" s="16" t="n">
        <f aca="false">SUM(C89:P89)</f>
        <v>0</v>
      </c>
    </row>
    <row r="90" customFormat="false" ht="17.25" hidden="false" customHeight="false" outlineLevel="0" collapsed="false">
      <c r="A90" s="37" t="s">
        <v>143</v>
      </c>
      <c r="B90" s="34" t="s">
        <v>143</v>
      </c>
      <c r="C90" s="35"/>
      <c r="D90" s="35"/>
      <c r="E90" s="35"/>
      <c r="F90" s="35"/>
      <c r="G90" s="35"/>
      <c r="H90" s="35"/>
      <c r="I90" s="35"/>
      <c r="J90" s="35"/>
      <c r="K90" s="36"/>
      <c r="L90" s="36"/>
      <c r="M90" s="36"/>
      <c r="N90" s="36"/>
      <c r="O90" s="36"/>
      <c r="P90" s="36"/>
      <c r="Q90" s="16" t="n">
        <f aca="false">SUM(C90:P90)</f>
        <v>0</v>
      </c>
    </row>
    <row r="91" customFormat="false" ht="17.25" hidden="false" customHeight="false" outlineLevel="0" collapsed="false">
      <c r="A91" s="37" t="s">
        <v>144</v>
      </c>
      <c r="B91" s="31" t="s">
        <v>145</v>
      </c>
      <c r="C91" s="28"/>
      <c r="D91" s="28"/>
      <c r="E91" s="28"/>
      <c r="F91" s="28"/>
      <c r="G91" s="28"/>
      <c r="H91" s="28"/>
      <c r="I91" s="28"/>
      <c r="J91" s="28"/>
      <c r="K91" s="29"/>
      <c r="L91" s="29"/>
      <c r="M91" s="29"/>
      <c r="N91" s="29"/>
      <c r="O91" s="29"/>
      <c r="P91" s="29"/>
      <c r="Q91" s="30" t="n">
        <f aca="false">SUM(C91:P91)</f>
        <v>0</v>
      </c>
    </row>
    <row r="92" customFormat="false" ht="17.25" hidden="false" customHeight="false" outlineLevel="0" collapsed="false">
      <c r="A92" s="37"/>
      <c r="B92" s="34" t="s">
        <v>146</v>
      </c>
      <c r="C92" s="35"/>
      <c r="D92" s="35"/>
      <c r="E92" s="35"/>
      <c r="F92" s="35"/>
      <c r="G92" s="35"/>
      <c r="H92" s="35"/>
      <c r="I92" s="35"/>
      <c r="J92" s="35"/>
      <c r="K92" s="36"/>
      <c r="L92" s="36"/>
      <c r="M92" s="36"/>
      <c r="N92" s="36"/>
      <c r="O92" s="36"/>
      <c r="P92" s="36"/>
      <c r="Q92" s="16" t="n">
        <f aca="false">SUM(C92:P92)</f>
        <v>0</v>
      </c>
    </row>
    <row r="93" customFormat="false" ht="17.25" hidden="false" customHeight="false" outlineLevel="0" collapsed="false">
      <c r="A93" s="37" t="s">
        <v>147</v>
      </c>
      <c r="B93" s="31" t="s">
        <v>148</v>
      </c>
      <c r="C93" s="28"/>
      <c r="D93" s="28"/>
      <c r="E93" s="28"/>
      <c r="F93" s="28"/>
      <c r="G93" s="28"/>
      <c r="H93" s="28"/>
      <c r="I93" s="28"/>
      <c r="J93" s="28"/>
      <c r="K93" s="29"/>
      <c r="L93" s="29"/>
      <c r="M93" s="29"/>
      <c r="N93" s="29"/>
      <c r="O93" s="29"/>
      <c r="P93" s="29"/>
      <c r="Q93" s="30" t="n">
        <f aca="false">SUM(C93:P93)</f>
        <v>0</v>
      </c>
    </row>
    <row r="94" customFormat="false" ht="17.25" hidden="false" customHeight="false" outlineLevel="0" collapsed="false">
      <c r="A94" s="37"/>
      <c r="B94" s="34" t="s">
        <v>149</v>
      </c>
      <c r="C94" s="35"/>
      <c r="D94" s="35"/>
      <c r="E94" s="35"/>
      <c r="F94" s="35"/>
      <c r="G94" s="11" t="n">
        <v>100</v>
      </c>
      <c r="H94" s="35"/>
      <c r="I94" s="35"/>
      <c r="J94" s="35"/>
      <c r="K94" s="36"/>
      <c r="L94" s="36"/>
      <c r="M94" s="36"/>
      <c r="N94" s="36"/>
      <c r="O94" s="36"/>
      <c r="P94" s="36"/>
      <c r="Q94" s="16" t="n">
        <f aca="false">SUM(C94:P94)</f>
        <v>100</v>
      </c>
    </row>
    <row r="95" customFormat="false" ht="17.25" hidden="false" customHeight="false" outlineLevel="0" collapsed="false">
      <c r="A95" s="37" t="s">
        <v>150</v>
      </c>
      <c r="B95" s="31" t="s">
        <v>151</v>
      </c>
      <c r="C95" s="40"/>
      <c r="D95" s="40"/>
      <c r="E95" s="40"/>
      <c r="F95" s="40"/>
      <c r="G95" s="40"/>
      <c r="H95" s="40"/>
      <c r="I95" s="40"/>
      <c r="J95" s="28"/>
      <c r="K95" s="32" t="n">
        <v>5000</v>
      </c>
      <c r="L95" s="29"/>
      <c r="M95" s="29"/>
      <c r="N95" s="29"/>
      <c r="O95" s="29"/>
      <c r="P95" s="29"/>
      <c r="Q95" s="30" t="n">
        <f aca="false">MIN(SUM(C95:P95),5000)</f>
        <v>5000</v>
      </c>
    </row>
    <row r="96" customFormat="false" ht="17.25" hidden="false" customHeight="false" outlineLevel="0" collapsed="false">
      <c r="A96" s="37"/>
      <c r="B96" s="31" t="s">
        <v>152</v>
      </c>
      <c r="C96" s="40"/>
      <c r="D96" s="40"/>
      <c r="E96" s="40"/>
      <c r="F96" s="40"/>
      <c r="G96" s="40"/>
      <c r="H96" s="40"/>
      <c r="I96" s="40"/>
      <c r="J96" s="28"/>
      <c r="K96" s="32" t="n">
        <v>25</v>
      </c>
      <c r="L96" s="29"/>
      <c r="M96" s="29"/>
      <c r="N96" s="29"/>
      <c r="O96" s="29"/>
      <c r="P96" s="29"/>
      <c r="Q96" s="30" t="n">
        <f aca="false">SUM(C96:P96)</f>
        <v>25</v>
      </c>
    </row>
    <row r="97" customFormat="false" ht="17.25" hidden="false" customHeight="false" outlineLevel="0" collapsed="false">
      <c r="A97" s="37"/>
      <c r="B97" s="31" t="s">
        <v>153</v>
      </c>
      <c r="C97" s="28"/>
      <c r="D97" s="28"/>
      <c r="E97" s="28"/>
      <c r="F97" s="28"/>
      <c r="G97" s="28"/>
      <c r="H97" s="28"/>
      <c r="I97" s="40"/>
      <c r="J97" s="28"/>
      <c r="K97" s="32" t="n">
        <v>5</v>
      </c>
      <c r="L97" s="29"/>
      <c r="M97" s="29"/>
      <c r="N97" s="29"/>
      <c r="O97" s="29"/>
      <c r="P97" s="29"/>
      <c r="Q97" s="30" t="n">
        <f aca="false">SUM(C97:P97)</f>
        <v>5</v>
      </c>
    </row>
    <row r="98" customFormat="false" ht="17.25" hidden="false" customHeight="false" outlineLevel="0" collapsed="false">
      <c r="A98" s="37"/>
      <c r="B98" s="34" t="s">
        <v>154</v>
      </c>
      <c r="C98" s="35"/>
      <c r="D98" s="35"/>
      <c r="E98" s="35"/>
      <c r="F98" s="35"/>
      <c r="G98" s="35"/>
      <c r="H98" s="35"/>
      <c r="I98" s="19" t="s">
        <v>155</v>
      </c>
      <c r="J98" s="35"/>
      <c r="K98" s="36"/>
      <c r="L98" s="36"/>
      <c r="M98" s="36"/>
      <c r="N98" s="36"/>
      <c r="O98" s="36"/>
      <c r="P98" s="36"/>
      <c r="Q98" s="48" t="s">
        <v>155</v>
      </c>
    </row>
    <row r="99" customFormat="false" ht="17.25" hidden="false" customHeight="false" outlineLevel="0" collapsed="false">
      <c r="A99" s="37" t="s">
        <v>156</v>
      </c>
      <c r="B99" s="34" t="s">
        <v>157</v>
      </c>
      <c r="C99" s="12" t="n">
        <v>10000</v>
      </c>
      <c r="D99" s="49"/>
      <c r="E99" s="49"/>
      <c r="F99" s="49"/>
      <c r="G99" s="49"/>
      <c r="H99" s="49"/>
      <c r="I99" s="49"/>
      <c r="J99" s="35"/>
      <c r="K99" s="36"/>
      <c r="L99" s="36"/>
      <c r="M99" s="36"/>
      <c r="N99" s="36"/>
      <c r="O99" s="36"/>
      <c r="P99" s="36"/>
      <c r="Q99" s="16" t="n">
        <f aca="false">SUM(C99:P99)</f>
        <v>10000</v>
      </c>
    </row>
  </sheetData>
  <mergeCells count="17">
    <mergeCell ref="A1:B1"/>
    <mergeCell ref="A2:B2"/>
    <mergeCell ref="A3:B3"/>
    <mergeCell ref="A4:B4"/>
    <mergeCell ref="A5:B5"/>
    <mergeCell ref="A6:A10"/>
    <mergeCell ref="A11:A14"/>
    <mergeCell ref="A15:A29"/>
    <mergeCell ref="A30:A37"/>
    <mergeCell ref="A38:A50"/>
    <mergeCell ref="A51:A62"/>
    <mergeCell ref="A63:A79"/>
    <mergeCell ref="A80:A85"/>
    <mergeCell ref="A86:A88"/>
    <mergeCell ref="A91:A92"/>
    <mergeCell ref="A93:A94"/>
    <mergeCell ref="A95:A9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7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50" t="s">
        <v>158</v>
      </c>
    </row>
    <row r="3" customFormat="false" ht="16.5" hidden="false" customHeight="true" outlineLevel="0" collapsed="false">
      <c r="A3" s="51" t="s">
        <v>159</v>
      </c>
      <c r="B3" s="52" t="s">
        <v>160</v>
      </c>
    </row>
    <row r="4" customFormat="false" ht="16.5" hidden="false" customHeight="true" outlineLevel="0" collapsed="false">
      <c r="A4" s="51" t="s">
        <v>161</v>
      </c>
      <c r="B4" s="52" t="s">
        <v>162</v>
      </c>
    </row>
    <row r="5" customFormat="false" ht="16.5" hidden="false" customHeight="true" outlineLevel="0" collapsed="false">
      <c r="A5" s="51" t="s">
        <v>163</v>
      </c>
      <c r="B5" s="52" t="s">
        <v>164</v>
      </c>
    </row>
    <row r="6" customFormat="false" ht="16.5" hidden="false" customHeight="true" outlineLevel="0" collapsed="false">
      <c r="A6" s="51" t="s">
        <v>165</v>
      </c>
      <c r="B6" s="52" t="s">
        <v>166</v>
      </c>
    </row>
    <row r="7" customFormat="false" ht="16.5" hidden="false" customHeight="true" outlineLevel="0" collapsed="false">
      <c r="A7" s="51" t="s">
        <v>167</v>
      </c>
      <c r="B7" s="52" t="s">
        <v>168</v>
      </c>
    </row>
    <row r="8" customFormat="false" ht="16.5" hidden="false" customHeight="true" outlineLevel="0" collapsed="false">
      <c r="A8" s="51" t="s">
        <v>169</v>
      </c>
      <c r="B8" s="53" t="s">
        <v>170</v>
      </c>
    </row>
    <row r="9" customFormat="false" ht="16.5" hidden="false" customHeight="true" outlineLevel="0" collapsed="false">
      <c r="A9" s="51" t="s">
        <v>171</v>
      </c>
      <c r="B9" s="52" t="s">
        <v>172</v>
      </c>
    </row>
    <row r="10" customFormat="false" ht="16.5" hidden="false" customHeight="true" outlineLevel="0" collapsed="false">
      <c r="A10" s="51" t="s">
        <v>173</v>
      </c>
      <c r="B10" s="52" t="s">
        <v>174</v>
      </c>
    </row>
    <row r="11" customFormat="false" ht="16.5" hidden="false" customHeight="true" outlineLevel="0" collapsed="false">
      <c r="A11" s="51" t="s">
        <v>175</v>
      </c>
      <c r="B11" s="52" t="s">
        <v>176</v>
      </c>
    </row>
    <row r="12" customFormat="false" ht="16.5" hidden="false" customHeight="true" outlineLevel="0" collapsed="false">
      <c r="A12" s="51" t="s">
        <v>177</v>
      </c>
      <c r="B12" s="53" t="s">
        <v>178</v>
      </c>
    </row>
    <row r="13" customFormat="false" ht="16.5" hidden="false" customHeight="true" outlineLevel="0" collapsed="false">
      <c r="A13" s="51" t="s">
        <v>179</v>
      </c>
      <c r="B13" s="52" t="s">
        <v>180</v>
      </c>
    </row>
    <row r="14" customFormat="false" ht="16.5" hidden="false" customHeight="true" outlineLevel="0" collapsed="false">
      <c r="A14" s="51" t="s">
        <v>181</v>
      </c>
      <c r="B14" s="52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34"/>
    <col collapsed="false" customWidth="true" hidden="false" outlineLevel="0" max="4" min="4" style="1" width="40"/>
    <col collapsed="false" customWidth="true" hidden="false" outlineLevel="0" max="5" min="5" style="1" width="12"/>
  </cols>
  <sheetData>
    <row r="1" customFormat="false" ht="17.15" hidden="false" customHeight="false" outlineLevel="0" collapsed="false">
      <c r="A1" s="54" t="s">
        <v>183</v>
      </c>
    </row>
    <row r="3" customFormat="false" ht="15" hidden="false" customHeight="false" outlineLevel="0" collapsed="false">
      <c r="A3" s="54" t="s">
        <v>184</v>
      </c>
      <c r="B3" s="1" t="n">
        <v>14</v>
      </c>
    </row>
    <row r="4" customFormat="false" ht="17.15" hidden="false" customHeight="false" outlineLevel="0" collapsed="false">
      <c r="A4" s="54" t="s">
        <v>185</v>
      </c>
      <c r="B4" s="1" t="s">
        <v>186</v>
      </c>
    </row>
    <row r="6" customFormat="false" ht="17.15" hidden="false" customHeight="false" outlineLevel="0" collapsed="false">
      <c r="A6" s="0" t="s">
        <v>187</v>
      </c>
    </row>
    <row r="7" customFormat="false" ht="17.15" hidden="false" customHeight="false" outlineLevel="0" collapsed="false">
      <c r="A7" s="54" t="s">
        <v>188</v>
      </c>
      <c r="B7" s="55" t="s">
        <v>189</v>
      </c>
      <c r="C7" s="54" t="s">
        <v>190</v>
      </c>
      <c r="D7" s="55" t="s">
        <v>191</v>
      </c>
      <c r="E7" s="55" t="s">
        <v>192</v>
      </c>
    </row>
    <row r="8" customFormat="false" ht="17.15" hidden="false" customHeight="false" outlineLevel="0" collapsed="false">
      <c r="A8" s="54" t="s">
        <v>193</v>
      </c>
      <c r="B8" s="55" t="s">
        <v>194</v>
      </c>
      <c r="C8" s="0" t="n">
        <v>100</v>
      </c>
      <c r="E8" s="1" t="s">
        <v>195</v>
      </c>
    </row>
    <row r="9" customFormat="false" ht="17.15" hidden="false" customHeight="false" outlineLevel="0" collapsed="false">
      <c r="A9" s="54" t="s">
        <v>193</v>
      </c>
      <c r="B9" s="55" t="s">
        <v>196</v>
      </c>
      <c r="C9" s="0" t="n">
        <v>100</v>
      </c>
      <c r="E9" s="1" t="s">
        <v>195</v>
      </c>
    </row>
    <row r="10" customFormat="false" ht="17.15" hidden="false" customHeight="false" outlineLevel="0" collapsed="false">
      <c r="A10" s="54" t="s">
        <v>197</v>
      </c>
      <c r="B10" s="55" t="s">
        <v>198</v>
      </c>
      <c r="C10" s="0" t="n">
        <v>3000</v>
      </c>
      <c r="E10" s="1" t="s">
        <v>199</v>
      </c>
    </row>
    <row r="11" customFormat="false" ht="17.15" hidden="false" customHeight="false" outlineLevel="0" collapsed="false">
      <c r="A11" s="54" t="s">
        <v>197</v>
      </c>
      <c r="B11" s="55" t="s">
        <v>200</v>
      </c>
      <c r="C11" s="0" t="n">
        <v>100</v>
      </c>
      <c r="E11" s="1" t="s">
        <v>201</v>
      </c>
    </row>
    <row r="12" customFormat="false" ht="17.15" hidden="false" customHeight="false" outlineLevel="0" collapsed="false">
      <c r="A12" s="54" t="s">
        <v>197</v>
      </c>
      <c r="B12" s="55" t="s">
        <v>202</v>
      </c>
      <c r="C12" s="0" t="n">
        <v>1</v>
      </c>
      <c r="E12" s="1" t="s">
        <v>203</v>
      </c>
    </row>
    <row r="13" customFormat="false" ht="17.15" hidden="false" customHeight="false" outlineLevel="0" collapsed="false">
      <c r="A13" s="54" t="s">
        <v>197</v>
      </c>
      <c r="B13" s="55" t="s">
        <v>204</v>
      </c>
      <c r="C13" s="0" t="n">
        <v>500</v>
      </c>
      <c r="E13" s="1" t="s">
        <v>205</v>
      </c>
    </row>
    <row r="14" customFormat="false" ht="17.15" hidden="false" customHeight="false" outlineLevel="0" collapsed="false">
      <c r="A14" s="54" t="s">
        <v>206</v>
      </c>
      <c r="B14" s="55" t="s">
        <v>207</v>
      </c>
      <c r="C14" s="0" t="n">
        <v>10000</v>
      </c>
      <c r="E14" s="1" t="s">
        <v>208</v>
      </c>
    </row>
    <row r="15" customFormat="false" ht="15" hidden="false" customHeight="false" outlineLevel="0" collapsed="false">
      <c r="A15" s="54" t="s">
        <v>206</v>
      </c>
      <c r="B15" s="55" t="s">
        <v>209</v>
      </c>
      <c r="C15" s="0" t="n">
        <v>20</v>
      </c>
      <c r="E15" s="1" t="s">
        <v>210</v>
      </c>
    </row>
    <row r="16" customFormat="false" ht="15" hidden="false" customHeight="false" outlineLevel="0" collapsed="false">
      <c r="A16" s="54" t="s">
        <v>206</v>
      </c>
      <c r="B16" s="55" t="s">
        <v>211</v>
      </c>
      <c r="C16" s="0" t="n">
        <v>600</v>
      </c>
      <c r="E16" s="1" t="s">
        <v>212</v>
      </c>
    </row>
    <row r="17" customFormat="false" ht="17.15" hidden="false" customHeight="false" outlineLevel="0" collapsed="false">
      <c r="A17" s="0" t="s">
        <v>213</v>
      </c>
      <c r="B17" s="1" t="s">
        <v>214</v>
      </c>
      <c r="C17" s="0" t="n">
        <v>50</v>
      </c>
      <c r="E17" s="1" t="s">
        <v>215</v>
      </c>
    </row>
    <row r="18" customFormat="false" ht="17.15" hidden="false" customHeight="false" outlineLevel="0" collapsed="false">
      <c r="A18" s="0" t="s">
        <v>213</v>
      </c>
      <c r="B18" s="1" t="s">
        <v>216</v>
      </c>
      <c r="C18" s="0" t="n">
        <v>100</v>
      </c>
      <c r="E18" s="1" t="s">
        <v>217</v>
      </c>
    </row>
    <row r="19" customFormat="false" ht="17.15" hidden="false" customHeight="false" outlineLevel="0" collapsed="false">
      <c r="A19" s="0" t="s">
        <v>213</v>
      </c>
      <c r="B19" s="1" t="s">
        <v>218</v>
      </c>
      <c r="C19" s="0" t="n">
        <v>500</v>
      </c>
      <c r="E19" s="1" t="s">
        <v>217</v>
      </c>
    </row>
    <row r="20" customFormat="false" ht="17.15" hidden="false" customHeight="false" outlineLevel="0" collapsed="false">
      <c r="A20" s="0" t="s">
        <v>213</v>
      </c>
      <c r="B20" s="1" t="s">
        <v>219</v>
      </c>
      <c r="C20" s="0" t="n">
        <v>10</v>
      </c>
      <c r="E20" s="1" t="s">
        <v>217</v>
      </c>
    </row>
    <row r="21" customFormat="false" ht="17.15" hidden="false" customHeight="false" outlineLevel="0" collapsed="false">
      <c r="A21" s="0" t="s">
        <v>213</v>
      </c>
      <c r="B21" s="1" t="s">
        <v>220</v>
      </c>
      <c r="C21" s="0" t="n">
        <v>10</v>
      </c>
      <c r="E21" s="1" t="s">
        <v>217</v>
      </c>
    </row>
    <row r="22" customFormat="false" ht="17.15" hidden="false" customHeight="false" outlineLevel="0" collapsed="false">
      <c r="A22" s="0" t="s">
        <v>213</v>
      </c>
      <c r="B22" s="1" t="s">
        <v>221</v>
      </c>
      <c r="C22" s="0" t="n">
        <v>5</v>
      </c>
      <c r="E22" s="1" t="s">
        <v>222</v>
      </c>
    </row>
    <row r="23" customFormat="false" ht="17.15" hidden="false" customHeight="false" outlineLevel="0" collapsed="false">
      <c r="A23" s="0" t="s">
        <v>213</v>
      </c>
      <c r="B23" s="1" t="s">
        <v>223</v>
      </c>
      <c r="C23" s="0" t="n">
        <v>5</v>
      </c>
      <c r="E23" s="1" t="s">
        <v>222</v>
      </c>
    </row>
    <row r="24" customFormat="false" ht="17.15" hidden="false" customHeight="false" outlineLevel="0" collapsed="false">
      <c r="A24" s="54" t="s">
        <v>224</v>
      </c>
      <c r="B24" s="55" t="s">
        <v>225</v>
      </c>
      <c r="C24" s="0" t="n">
        <v>2000</v>
      </c>
      <c r="E24" s="1" t="s">
        <v>226</v>
      </c>
    </row>
    <row r="25" customFormat="false" ht="17.15" hidden="false" customHeight="false" outlineLevel="0" collapsed="false">
      <c r="A25" s="54" t="s">
        <v>227</v>
      </c>
      <c r="B25" s="55" t="s">
        <v>228</v>
      </c>
      <c r="C25" s="0" t="n">
        <v>500</v>
      </c>
      <c r="E25" s="1" t="s">
        <v>229</v>
      </c>
    </row>
    <row r="26" customFormat="false" ht="17.15" hidden="false" customHeight="false" outlineLevel="0" collapsed="false">
      <c r="A26" s="54" t="s">
        <v>230</v>
      </c>
      <c r="B26" s="55" t="s">
        <v>231</v>
      </c>
      <c r="C26" s="0" t="n">
        <v>1000</v>
      </c>
      <c r="E26" s="1" t="s">
        <v>232</v>
      </c>
    </row>
    <row r="27" customFormat="false" ht="17.15" hidden="false" customHeight="false" outlineLevel="0" collapsed="false">
      <c r="A27" s="54" t="s">
        <v>230</v>
      </c>
      <c r="B27" s="55" t="s">
        <v>233</v>
      </c>
      <c r="C27" s="0" t="n">
        <v>40</v>
      </c>
      <c r="E27" s="1" t="s">
        <v>234</v>
      </c>
    </row>
    <row r="28" customFormat="false" ht="17.15" hidden="false" customHeight="false" outlineLevel="0" collapsed="false">
      <c r="A28" s="0" t="s">
        <v>235</v>
      </c>
      <c r="B28" s="55" t="s">
        <v>236</v>
      </c>
      <c r="C28" s="0" t="n">
        <v>1000</v>
      </c>
      <c r="E28" s="1" t="s">
        <v>237</v>
      </c>
    </row>
    <row r="29" customFormat="false" ht="17.15" hidden="false" customHeight="false" outlineLevel="0" collapsed="false">
      <c r="A29" s="0" t="s">
        <v>235</v>
      </c>
      <c r="B29" s="55" t="s">
        <v>238</v>
      </c>
      <c r="C29" s="0" t="n">
        <v>250</v>
      </c>
      <c r="E29" s="1" t="s">
        <v>239</v>
      </c>
    </row>
    <row r="30" customFormat="false" ht="17.15" hidden="false" customHeight="false" outlineLevel="0" collapsed="false">
      <c r="A30" s="0" t="s">
        <v>235</v>
      </c>
      <c r="B30" s="55" t="s">
        <v>240</v>
      </c>
      <c r="C30" s="0" t="n">
        <v>250</v>
      </c>
      <c r="E30" s="1" t="s">
        <v>241</v>
      </c>
    </row>
    <row r="31" customFormat="false" ht="17.15" hidden="false" customHeight="false" outlineLevel="0" collapsed="false">
      <c r="A31" s="0" t="s">
        <v>235</v>
      </c>
      <c r="B31" s="55" t="s">
        <v>242</v>
      </c>
      <c r="C31" s="0" t="n">
        <v>5</v>
      </c>
      <c r="E31" s="1" t="s">
        <v>243</v>
      </c>
    </row>
    <row r="32" customFormat="false" ht="17.15" hidden="false" customHeight="false" outlineLevel="0" collapsed="false">
      <c r="A32" s="0" t="s">
        <v>235</v>
      </c>
      <c r="B32" s="55" t="s">
        <v>244</v>
      </c>
      <c r="C32" s="0" t="n">
        <v>3</v>
      </c>
      <c r="E32" s="1" t="s">
        <v>245</v>
      </c>
    </row>
    <row r="33" customFormat="false" ht="17.15" hidden="false" customHeight="false" outlineLevel="0" collapsed="false">
      <c r="A33" s="54" t="s">
        <v>246</v>
      </c>
      <c r="B33" s="1" t="s">
        <v>247</v>
      </c>
      <c r="C33" s="0" t="n">
        <v>15</v>
      </c>
      <c r="E33" s="1" t="s">
        <v>248</v>
      </c>
    </row>
    <row r="37" customFormat="false" ht="17.15" hidden="false" customHeight="false" outlineLevel="0" collapsed="false">
      <c r="A37" s="0" t="s">
        <v>249</v>
      </c>
    </row>
    <row r="38" customFormat="false" ht="17.15" hidden="false" customHeight="false" outlineLevel="0" collapsed="false">
      <c r="A38" s="54" t="s">
        <v>188</v>
      </c>
      <c r="B38" s="55" t="s">
        <v>250</v>
      </c>
      <c r="C38" s="54" t="s">
        <v>251</v>
      </c>
      <c r="D38" s="55" t="s">
        <v>252</v>
      </c>
    </row>
    <row r="39" customFormat="false" ht="17.15" hidden="false" customHeight="false" outlineLevel="0" collapsed="false">
      <c r="A39" s="0" t="s">
        <v>213</v>
      </c>
      <c r="B39" s="1" t="s">
        <v>22</v>
      </c>
      <c r="C39" s="56" t="s">
        <v>253</v>
      </c>
      <c r="D39" s="1" t="s">
        <v>254</v>
      </c>
    </row>
    <row r="41" customFormat="false" ht="17.15" hidden="false" customHeight="false" outlineLevel="0" collapsed="false">
      <c r="A41" s="0" t="s">
        <v>255</v>
      </c>
    </row>
    <row r="42" customFormat="false" ht="17.15" hidden="false" customHeight="false" outlineLevel="0" collapsed="false">
      <c r="A42" s="54" t="s">
        <v>188</v>
      </c>
      <c r="B42" s="55" t="s">
        <v>256</v>
      </c>
      <c r="C42" s="54" t="s">
        <v>257</v>
      </c>
      <c r="D42" s="55" t="s">
        <v>190</v>
      </c>
    </row>
    <row r="43" customFormat="false" ht="17.15" hidden="false" customHeight="false" outlineLevel="0" collapsed="false">
      <c r="A43" s="0" t="s">
        <v>258</v>
      </c>
      <c r="B43" s="55" t="s">
        <v>259</v>
      </c>
      <c r="C43" s="54" t="s">
        <v>94</v>
      </c>
      <c r="D43" s="1" t="n">
        <v>1000</v>
      </c>
    </row>
    <row r="44" customFormat="false" ht="17.15" hidden="false" customHeight="false" outlineLevel="0" collapsed="false">
      <c r="A44" s="0" t="s">
        <v>258</v>
      </c>
      <c r="B44" s="55" t="s">
        <v>260</v>
      </c>
      <c r="C44" s="54" t="s">
        <v>93</v>
      </c>
      <c r="D44" s="1" t="n">
        <v>1000</v>
      </c>
    </row>
    <row r="45" customFormat="false" ht="17.15" hidden="false" customHeight="false" outlineLevel="0" collapsed="false">
      <c r="A45" s="0" t="s">
        <v>258</v>
      </c>
      <c r="B45" s="55" t="s">
        <v>261</v>
      </c>
      <c r="C45" s="54" t="s">
        <v>88</v>
      </c>
      <c r="D45" s="1" t="n">
        <v>500</v>
      </c>
    </row>
    <row r="46" customFormat="false" ht="17.15" hidden="false" customHeight="false" outlineLevel="0" collapsed="false">
      <c r="A46" s="0" t="s">
        <v>258</v>
      </c>
      <c r="B46" s="55" t="s">
        <v>262</v>
      </c>
      <c r="C46" s="56" t="s">
        <v>263</v>
      </c>
      <c r="D46" s="1" t="n">
        <v>1000</v>
      </c>
    </row>
    <row r="47" customFormat="false" ht="17.15" hidden="false" customHeight="false" outlineLevel="0" collapsed="false">
      <c r="A47" s="0" t="s">
        <v>258</v>
      </c>
      <c r="B47" s="55" t="s">
        <v>262</v>
      </c>
      <c r="C47" s="56" t="s">
        <v>263</v>
      </c>
      <c r="D47" s="1" t="n">
        <v>1000</v>
      </c>
    </row>
    <row r="48" customFormat="false" ht="17.15" hidden="false" customHeight="false" outlineLevel="0" collapsed="false">
      <c r="A48" s="0" t="s">
        <v>258</v>
      </c>
      <c r="B48" s="55" t="s">
        <v>264</v>
      </c>
      <c r="C48" s="54" t="s">
        <v>84</v>
      </c>
      <c r="D48" s="1" t="n">
        <v>1000</v>
      </c>
    </row>
    <row r="49" customFormat="false" ht="17.15" hidden="false" customHeight="false" outlineLevel="0" collapsed="false">
      <c r="A49" s="0" t="s">
        <v>258</v>
      </c>
      <c r="B49" s="55" t="s">
        <v>265</v>
      </c>
      <c r="C49" s="54" t="s">
        <v>86</v>
      </c>
      <c r="D49" s="1" t="n">
        <v>1000</v>
      </c>
    </row>
    <row r="50" customFormat="false" ht="17.15" hidden="false" customHeight="false" outlineLevel="0" collapsed="false">
      <c r="A50" s="0" t="s">
        <v>258</v>
      </c>
      <c r="B50" s="55" t="s">
        <v>266</v>
      </c>
      <c r="C50" s="54" t="s">
        <v>85</v>
      </c>
      <c r="D50" s="1" t="n">
        <v>1000</v>
      </c>
    </row>
    <row r="51" customFormat="false" ht="17.15" hidden="false" customHeight="false" outlineLevel="0" collapsed="false">
      <c r="A51" s="0" t="s">
        <v>258</v>
      </c>
      <c r="B51" s="55" t="s">
        <v>267</v>
      </c>
      <c r="C51" s="54" t="s">
        <v>87</v>
      </c>
      <c r="D51" s="1" t="n">
        <v>1000</v>
      </c>
    </row>
    <row r="52" customFormat="false" ht="17.15" hidden="false" customHeight="false" outlineLevel="0" collapsed="false">
      <c r="A52" s="54" t="s">
        <v>193</v>
      </c>
      <c r="B52" s="1" t="s">
        <v>268</v>
      </c>
      <c r="C52" s="54" t="s">
        <v>91</v>
      </c>
      <c r="D52" s="1" t="n">
        <v>1000</v>
      </c>
    </row>
    <row r="53" customFormat="false" ht="15" hidden="false" customHeight="false" outlineLevel="0" collapsed="false">
      <c r="A53" s="54" t="s">
        <v>206</v>
      </c>
      <c r="B53" s="55" t="s">
        <v>269</v>
      </c>
      <c r="C53" s="54" t="s">
        <v>94</v>
      </c>
      <c r="D53" s="1" t="n">
        <v>2000</v>
      </c>
    </row>
    <row r="54" customFormat="false" ht="17.15" hidden="false" customHeight="false" outlineLevel="0" collapsed="false">
      <c r="A54" s="54" t="s">
        <v>227</v>
      </c>
      <c r="B54" s="55" t="s">
        <v>270</v>
      </c>
      <c r="C54" s="54" t="s">
        <v>82</v>
      </c>
      <c r="D54" s="1" t="n">
        <v>2000</v>
      </c>
    </row>
    <row r="55" customFormat="false" ht="17.15" hidden="false" customHeight="false" outlineLevel="0" collapsed="false">
      <c r="A55" s="54" t="s">
        <v>230</v>
      </c>
      <c r="B55" s="1" t="s">
        <v>271</v>
      </c>
      <c r="C55" s="54" t="s">
        <v>93</v>
      </c>
      <c r="D55" s="1" t="n">
        <v>2000</v>
      </c>
    </row>
    <row r="56" customFormat="false" ht="17.15" hidden="false" customHeight="false" outlineLevel="0" collapsed="false">
      <c r="A56" s="0" t="s">
        <v>235</v>
      </c>
      <c r="B56" s="55" t="s">
        <v>94</v>
      </c>
      <c r="C56" s="54" t="s">
        <v>94</v>
      </c>
      <c r="D56" s="1" t="n">
        <v>2000</v>
      </c>
    </row>
    <row r="58" customFormat="false" ht="17.15" hidden="false" customHeight="false" outlineLevel="0" collapsed="false">
      <c r="A58" s="0" t="s">
        <v>272</v>
      </c>
    </row>
    <row r="59" customFormat="false" ht="17.15" hidden="false" customHeight="false" outlineLevel="0" collapsed="false">
      <c r="A59" s="54" t="s">
        <v>188</v>
      </c>
      <c r="B59" s="55" t="s">
        <v>256</v>
      </c>
      <c r="C59" s="54" t="s">
        <v>273</v>
      </c>
      <c r="D59" s="55" t="s">
        <v>190</v>
      </c>
    </row>
    <row r="60" customFormat="false" ht="17.15" hidden="false" customHeight="false" outlineLevel="0" collapsed="false">
      <c r="A60" s="54" t="s">
        <v>197</v>
      </c>
      <c r="B60" s="55" t="s">
        <v>274</v>
      </c>
      <c r="C60" s="54" t="s">
        <v>110</v>
      </c>
      <c r="D60" s="1" t="n">
        <v>100</v>
      </c>
    </row>
    <row r="61" customFormat="false" ht="17.15" hidden="false" customHeight="false" outlineLevel="0" collapsed="false">
      <c r="A61" s="54" t="s">
        <v>197</v>
      </c>
      <c r="B61" s="55" t="s">
        <v>275</v>
      </c>
      <c r="C61" s="54" t="s">
        <v>276</v>
      </c>
      <c r="D61" s="1" t="n">
        <v>20</v>
      </c>
    </row>
    <row r="62" customFormat="false" ht="17.15" hidden="false" customHeight="false" outlineLevel="0" collapsed="false">
      <c r="A62" s="54" t="s">
        <v>197</v>
      </c>
      <c r="B62" s="55" t="s">
        <v>277</v>
      </c>
      <c r="C62" s="54" t="s">
        <v>278</v>
      </c>
      <c r="D62" s="1" t="n">
        <v>60</v>
      </c>
    </row>
    <row r="63" customFormat="false" ht="17.15" hidden="false" customHeight="false" outlineLevel="0" collapsed="false">
      <c r="A63" s="54" t="s">
        <v>197</v>
      </c>
      <c r="B63" s="55" t="s">
        <v>279</v>
      </c>
      <c r="C63" s="54" t="s">
        <v>280</v>
      </c>
      <c r="D63" s="1" t="n">
        <v>200</v>
      </c>
    </row>
    <row r="64" customFormat="false" ht="17.15" hidden="false" customHeight="false" outlineLevel="0" collapsed="false">
      <c r="A64" s="54" t="s">
        <v>197</v>
      </c>
      <c r="B64" s="55" t="s">
        <v>281</v>
      </c>
      <c r="C64" s="54" t="s">
        <v>282</v>
      </c>
      <c r="D64" s="1" t="n">
        <v>400</v>
      </c>
    </row>
    <row r="65" customFormat="false" ht="17.15" hidden="false" customHeight="false" outlineLevel="0" collapsed="false">
      <c r="A65" s="54" t="s">
        <v>197</v>
      </c>
      <c r="B65" s="55" t="s">
        <v>283</v>
      </c>
      <c r="C65" s="54" t="s">
        <v>284</v>
      </c>
      <c r="D65" s="1" t="n">
        <v>800</v>
      </c>
    </row>
    <row r="66" customFormat="false" ht="15" hidden="false" customHeight="false" outlineLevel="0" collapsed="false">
      <c r="A66" s="54" t="s">
        <v>206</v>
      </c>
      <c r="B66" s="55" t="s">
        <v>119</v>
      </c>
      <c r="C66" s="54" t="s">
        <v>119</v>
      </c>
      <c r="D66" s="1" t="n">
        <v>30</v>
      </c>
    </row>
    <row r="67" customFormat="false" ht="17.15" hidden="false" customHeight="false" outlineLevel="0" collapsed="false">
      <c r="A67" s="54" t="s">
        <v>206</v>
      </c>
      <c r="B67" s="1" t="s">
        <v>285</v>
      </c>
      <c r="C67" s="56" t="s">
        <v>286</v>
      </c>
      <c r="D67" s="1" t="n">
        <v>150</v>
      </c>
    </row>
    <row r="68" customFormat="false" ht="15" hidden="false" customHeight="false" outlineLevel="0" collapsed="false">
      <c r="A68" s="54" t="s">
        <v>206</v>
      </c>
      <c r="B68" s="55" t="s">
        <v>110</v>
      </c>
      <c r="C68" s="54" t="s">
        <v>110</v>
      </c>
      <c r="D68" s="1" t="n">
        <v>30</v>
      </c>
    </row>
    <row r="69" customFormat="false" ht="17.15" hidden="false" customHeight="false" outlineLevel="0" collapsed="false">
      <c r="A69" s="0" t="s">
        <v>213</v>
      </c>
      <c r="B69" s="1" t="s">
        <v>287</v>
      </c>
      <c r="C69" s="54" t="s">
        <v>119</v>
      </c>
      <c r="D69" s="1" t="n">
        <v>30</v>
      </c>
    </row>
    <row r="70" customFormat="false" ht="17.15" hidden="false" customHeight="false" outlineLevel="0" collapsed="false">
      <c r="A70" s="0" t="s">
        <v>213</v>
      </c>
      <c r="B70" s="1" t="s">
        <v>288</v>
      </c>
      <c r="C70" s="54" t="s">
        <v>289</v>
      </c>
      <c r="D70" s="1" t="n">
        <v>30</v>
      </c>
    </row>
    <row r="71" customFormat="false" ht="17.15" hidden="false" customHeight="false" outlineLevel="0" collapsed="false">
      <c r="A71" s="0" t="s">
        <v>213</v>
      </c>
      <c r="B71" s="1" t="s">
        <v>290</v>
      </c>
      <c r="C71" s="54" t="s">
        <v>291</v>
      </c>
      <c r="D71" s="1" t="n">
        <v>30</v>
      </c>
    </row>
    <row r="72" customFormat="false" ht="17.15" hidden="false" customHeight="false" outlineLevel="0" collapsed="false">
      <c r="A72" s="0" t="s">
        <v>213</v>
      </c>
      <c r="B72" s="1" t="s">
        <v>292</v>
      </c>
      <c r="C72" s="54" t="s">
        <v>293</v>
      </c>
      <c r="D72" s="1" t="n">
        <v>300</v>
      </c>
    </row>
    <row r="73" customFormat="false" ht="17.15" hidden="false" customHeight="false" outlineLevel="0" collapsed="false">
      <c r="A73" s="0" t="s">
        <v>213</v>
      </c>
      <c r="B73" s="1" t="s">
        <v>294</v>
      </c>
      <c r="C73" s="54" t="s">
        <v>295</v>
      </c>
      <c r="D73" s="1" t="n">
        <v>1000</v>
      </c>
    </row>
    <row r="74" customFormat="false" ht="17.15" hidden="false" customHeight="false" outlineLevel="0" collapsed="false">
      <c r="A74" s="0" t="s">
        <v>213</v>
      </c>
      <c r="B74" s="1" t="s">
        <v>296</v>
      </c>
      <c r="C74" s="54" t="s">
        <v>297</v>
      </c>
      <c r="D74" s="1" t="n">
        <v>1000</v>
      </c>
    </row>
    <row r="75" customFormat="false" ht="17.15" hidden="false" customHeight="false" outlineLevel="0" collapsed="false">
      <c r="A75" s="0" t="s">
        <v>213</v>
      </c>
      <c r="B75" s="1" t="s">
        <v>298</v>
      </c>
      <c r="C75" s="54" t="s">
        <v>71</v>
      </c>
      <c r="D75" s="1" t="n">
        <v>1000</v>
      </c>
    </row>
    <row r="76" customFormat="false" ht="15" hidden="false" customHeight="false" outlineLevel="0" collapsed="false">
      <c r="A76" s="54" t="s">
        <v>227</v>
      </c>
      <c r="B76" s="55" t="s">
        <v>71</v>
      </c>
      <c r="C76" s="54" t="s">
        <v>71</v>
      </c>
      <c r="D76" s="1" t="n">
        <v>6000</v>
      </c>
    </row>
    <row r="77" customFormat="false" ht="17.15" hidden="false" customHeight="false" outlineLevel="0" collapsed="false">
      <c r="A77" s="54" t="s">
        <v>227</v>
      </c>
      <c r="B77" s="55" t="s">
        <v>299</v>
      </c>
      <c r="C77" s="54" t="s">
        <v>70</v>
      </c>
      <c r="D77" s="1" t="n">
        <v>500</v>
      </c>
    </row>
    <row r="78" customFormat="false" ht="17.15" hidden="false" customHeight="false" outlineLevel="0" collapsed="false">
      <c r="A78" s="54" t="s">
        <v>227</v>
      </c>
      <c r="B78" s="55" t="s">
        <v>300</v>
      </c>
      <c r="C78" s="54" t="s">
        <v>70</v>
      </c>
      <c r="D78" s="1" t="n">
        <v>500</v>
      </c>
    </row>
    <row r="79" customFormat="false" ht="17.15" hidden="false" customHeight="false" outlineLevel="0" collapsed="false">
      <c r="A79" s="0" t="s">
        <v>235</v>
      </c>
      <c r="B79" s="55" t="s">
        <v>301</v>
      </c>
      <c r="C79" s="54" t="s">
        <v>71</v>
      </c>
      <c r="D79" s="1" t="n">
        <v>40</v>
      </c>
    </row>
    <row r="80" customFormat="false" ht="17.15" hidden="false" customHeight="false" outlineLevel="0" collapsed="false">
      <c r="A80" s="0" t="s">
        <v>235</v>
      </c>
      <c r="B80" s="55" t="s">
        <v>71</v>
      </c>
      <c r="C80" s="54" t="s">
        <v>71</v>
      </c>
      <c r="D80" s="1" t="n">
        <v>400</v>
      </c>
    </row>
    <row r="82" customFormat="false" ht="17.15" hidden="false" customHeight="false" outlineLevel="0" collapsed="false">
      <c r="A82" s="0" t="s">
        <v>302</v>
      </c>
    </row>
    <row r="83" customFormat="false" ht="17.15" hidden="false" customHeight="false" outlineLevel="0" collapsed="false">
      <c r="A83" s="54" t="s">
        <v>188</v>
      </c>
      <c r="B83" s="55" t="s">
        <v>256</v>
      </c>
      <c r="C83" s="54" t="s">
        <v>257</v>
      </c>
      <c r="D83" s="55" t="s">
        <v>190</v>
      </c>
    </row>
    <row r="84" customFormat="false" ht="17.15" hidden="false" customHeight="false" outlineLevel="0" collapsed="false">
      <c r="A84" s="54" t="s">
        <v>193</v>
      </c>
      <c r="B84" s="55" t="s">
        <v>303</v>
      </c>
      <c r="C84" s="54" t="s">
        <v>60</v>
      </c>
      <c r="D84" s="1" t="n">
        <v>1000</v>
      </c>
    </row>
    <row r="85" customFormat="false" ht="17.15" hidden="false" customHeight="false" outlineLevel="0" collapsed="false">
      <c r="A85" s="54" t="s">
        <v>193</v>
      </c>
      <c r="B85" s="55" t="s">
        <v>304</v>
      </c>
      <c r="C85" s="54" t="s">
        <v>305</v>
      </c>
      <c r="D85" s="1" t="n">
        <v>200</v>
      </c>
    </row>
    <row r="86" customFormat="false" ht="17.15" hidden="false" customHeight="false" outlineLevel="0" collapsed="false">
      <c r="A86" s="54" t="s">
        <v>193</v>
      </c>
      <c r="B86" s="55" t="s">
        <v>306</v>
      </c>
      <c r="C86" s="54" t="s">
        <v>64</v>
      </c>
      <c r="D86" s="1" t="n">
        <v>1000</v>
      </c>
    </row>
    <row r="87" customFormat="false" ht="17.15" hidden="false" customHeight="false" outlineLevel="0" collapsed="false">
      <c r="A87" s="54" t="s">
        <v>193</v>
      </c>
      <c r="B87" s="55" t="s">
        <v>307</v>
      </c>
      <c r="C87" s="54" t="s">
        <v>64</v>
      </c>
      <c r="D87" s="1" t="n">
        <v>400</v>
      </c>
    </row>
    <row r="88" customFormat="false" ht="17.15" hidden="false" customHeight="false" outlineLevel="0" collapsed="false">
      <c r="A88" s="54" t="s">
        <v>193</v>
      </c>
      <c r="B88" s="55" t="s">
        <v>308</v>
      </c>
      <c r="C88" s="54" t="s">
        <v>64</v>
      </c>
      <c r="D88" s="1" t="n">
        <v>2000</v>
      </c>
    </row>
    <row r="89" customFormat="false" ht="15" hidden="false" customHeight="false" outlineLevel="0" collapsed="false">
      <c r="A89" s="54" t="s">
        <v>309</v>
      </c>
      <c r="B89" s="55" t="s">
        <v>310</v>
      </c>
      <c r="C89" s="54" t="s">
        <v>60</v>
      </c>
      <c r="D89" s="1" t="n">
        <v>4000</v>
      </c>
    </row>
    <row r="90" customFormat="false" ht="15" hidden="false" customHeight="false" outlineLevel="0" collapsed="false">
      <c r="A90" s="54" t="s">
        <v>206</v>
      </c>
      <c r="B90" s="55" t="s">
        <v>310</v>
      </c>
      <c r="C90" s="54" t="s">
        <v>60</v>
      </c>
      <c r="D90" s="1" t="n">
        <v>2000</v>
      </c>
    </row>
    <row r="91" customFormat="false" ht="17.15" hidden="false" customHeight="false" outlineLevel="0" collapsed="false">
      <c r="A91" s="0" t="s">
        <v>213</v>
      </c>
      <c r="B91" s="1" t="s">
        <v>311</v>
      </c>
      <c r="C91" s="54" t="s">
        <v>60</v>
      </c>
      <c r="D91" s="1" t="n">
        <v>5000</v>
      </c>
    </row>
    <row r="92" customFormat="false" ht="17.15" hidden="false" customHeight="false" outlineLevel="0" collapsed="false">
      <c r="A92" s="0" t="s">
        <v>213</v>
      </c>
      <c r="B92" s="1" t="s">
        <v>312</v>
      </c>
      <c r="C92" s="54" t="s">
        <v>305</v>
      </c>
      <c r="D92" s="1" t="n">
        <v>600</v>
      </c>
    </row>
    <row r="93" customFormat="false" ht="17.15" hidden="false" customHeight="false" outlineLevel="0" collapsed="false">
      <c r="A93" s="0" t="s">
        <v>213</v>
      </c>
      <c r="B93" s="1" t="s">
        <v>313</v>
      </c>
      <c r="C93" s="54" t="s">
        <v>64</v>
      </c>
      <c r="D93" s="1" t="n">
        <v>2000</v>
      </c>
    </row>
    <row r="94" customFormat="false" ht="17.15" hidden="false" customHeight="false" outlineLevel="0" collapsed="false">
      <c r="A94" s="0" t="s">
        <v>213</v>
      </c>
      <c r="B94" s="1" t="s">
        <v>298</v>
      </c>
      <c r="C94" s="54" t="s">
        <v>71</v>
      </c>
      <c r="D94" s="1" t="n">
        <v>1000</v>
      </c>
    </row>
    <row r="95" customFormat="false" ht="17.15" hidden="false" customHeight="false" outlineLevel="0" collapsed="false">
      <c r="A95" s="0" t="s">
        <v>213</v>
      </c>
      <c r="B95" s="1" t="s">
        <v>314</v>
      </c>
      <c r="C95" s="54" t="s">
        <v>64</v>
      </c>
      <c r="D95" s="1" t="n">
        <v>1000</v>
      </c>
    </row>
    <row r="96" customFormat="false" ht="17.15" hidden="false" customHeight="false" outlineLevel="0" collapsed="false">
      <c r="A96" s="0" t="s">
        <v>213</v>
      </c>
      <c r="B96" s="1" t="s">
        <v>315</v>
      </c>
      <c r="C96" s="54" t="s">
        <v>64</v>
      </c>
      <c r="D96" s="1" t="n">
        <v>1000</v>
      </c>
    </row>
    <row r="97" customFormat="false" ht="17.15" hidden="false" customHeight="false" outlineLevel="0" collapsed="false">
      <c r="A97" s="0" t="s">
        <v>213</v>
      </c>
      <c r="B97" s="1" t="s">
        <v>316</v>
      </c>
      <c r="C97" s="54" t="s">
        <v>63</v>
      </c>
      <c r="D97" s="1" t="n">
        <v>600</v>
      </c>
    </row>
    <row r="98" customFormat="false" ht="17.15" hidden="false" customHeight="false" outlineLevel="0" collapsed="false">
      <c r="A98" s="0" t="s">
        <v>213</v>
      </c>
      <c r="B98" s="1" t="s">
        <v>317</v>
      </c>
      <c r="C98" s="54" t="s">
        <v>63</v>
      </c>
      <c r="D98" s="1" t="n">
        <v>500</v>
      </c>
    </row>
    <row r="99" customFormat="false" ht="17.15" hidden="false" customHeight="false" outlineLevel="0" collapsed="false">
      <c r="A99" s="0" t="s">
        <v>213</v>
      </c>
      <c r="B99" s="1" t="s">
        <v>318</v>
      </c>
      <c r="C99" s="54" t="s">
        <v>63</v>
      </c>
      <c r="D99" s="1" t="n">
        <v>500</v>
      </c>
    </row>
    <row r="100" customFormat="false" ht="17.15" hidden="false" customHeight="false" outlineLevel="0" collapsed="false">
      <c r="A100" s="0" t="s">
        <v>213</v>
      </c>
      <c r="B100" s="1" t="s">
        <v>319</v>
      </c>
      <c r="C100" s="54" t="s">
        <v>63</v>
      </c>
      <c r="D100" s="1" t="n">
        <v>500</v>
      </c>
    </row>
    <row r="101" customFormat="false" ht="17.15" hidden="false" customHeight="false" outlineLevel="0" collapsed="false">
      <c r="A101" s="0" t="s">
        <v>213</v>
      </c>
      <c r="B101" s="1" t="s">
        <v>320</v>
      </c>
      <c r="C101" s="54" t="s">
        <v>63</v>
      </c>
      <c r="D101" s="1" t="n">
        <v>500</v>
      </c>
    </row>
    <row r="102" customFormat="false" ht="17.15" hidden="false" customHeight="false" outlineLevel="0" collapsed="false">
      <c r="A102" s="0" t="s">
        <v>213</v>
      </c>
      <c r="B102" s="1" t="s">
        <v>321</v>
      </c>
      <c r="C102" s="54" t="s">
        <v>63</v>
      </c>
      <c r="D102" s="1" t="n">
        <v>500</v>
      </c>
    </row>
    <row r="103" customFormat="false" ht="17.15" hidden="false" customHeight="false" outlineLevel="0" collapsed="false">
      <c r="A103" s="0" t="s">
        <v>213</v>
      </c>
      <c r="B103" s="1" t="s">
        <v>322</v>
      </c>
      <c r="C103" s="54" t="s">
        <v>63</v>
      </c>
      <c r="D103" s="1" t="n">
        <v>500</v>
      </c>
    </row>
    <row r="104" customFormat="false" ht="17.15" hidden="false" customHeight="false" outlineLevel="0" collapsed="false">
      <c r="A104" s="0" t="s">
        <v>213</v>
      </c>
      <c r="B104" s="1" t="s">
        <v>323</v>
      </c>
      <c r="C104" s="54" t="s">
        <v>63</v>
      </c>
      <c r="D104" s="1" t="n">
        <v>500</v>
      </c>
    </row>
    <row r="105" customFormat="false" ht="17.15" hidden="false" customHeight="false" outlineLevel="0" collapsed="false">
      <c r="A105" s="54" t="s">
        <v>227</v>
      </c>
      <c r="B105" s="55" t="s">
        <v>324</v>
      </c>
      <c r="C105" s="54" t="s">
        <v>60</v>
      </c>
      <c r="D105" s="1" t="n">
        <v>1000</v>
      </c>
    </row>
    <row r="106" customFormat="false" ht="17.15" hidden="false" customHeight="false" outlineLevel="0" collapsed="false">
      <c r="A106" s="54" t="s">
        <v>227</v>
      </c>
      <c r="B106" s="55" t="s">
        <v>325</v>
      </c>
      <c r="C106" s="54" t="s">
        <v>305</v>
      </c>
      <c r="D106" s="1" t="n">
        <v>200</v>
      </c>
    </row>
    <row r="107" customFormat="false" ht="15" hidden="false" customHeight="false" outlineLevel="0" collapsed="false">
      <c r="A107" s="54" t="s">
        <v>227</v>
      </c>
      <c r="B107" s="55" t="s">
        <v>71</v>
      </c>
      <c r="C107" s="54" t="s">
        <v>71</v>
      </c>
      <c r="D107" s="1" t="n">
        <v>6000</v>
      </c>
    </row>
    <row r="108" customFormat="false" ht="15" hidden="false" customHeight="false" outlineLevel="0" collapsed="false">
      <c r="A108" s="54" t="s">
        <v>230</v>
      </c>
      <c r="B108" s="55" t="s">
        <v>326</v>
      </c>
      <c r="C108" s="54" t="s">
        <v>60</v>
      </c>
      <c r="D108" s="1" t="n">
        <v>5000</v>
      </c>
    </row>
    <row r="109" customFormat="false" ht="17.15" hidden="false" customHeight="false" outlineLevel="0" collapsed="false">
      <c r="A109" s="54" t="s">
        <v>230</v>
      </c>
      <c r="B109" s="55" t="s">
        <v>327</v>
      </c>
      <c r="C109" s="54" t="s">
        <v>305</v>
      </c>
      <c r="D109" s="1" t="n">
        <v>500</v>
      </c>
    </row>
    <row r="110" customFormat="false" ht="15" hidden="false" customHeight="false" outlineLevel="0" collapsed="false">
      <c r="A110" s="54" t="s">
        <v>230</v>
      </c>
      <c r="B110" s="55" t="s">
        <v>328</v>
      </c>
      <c r="C110" s="54" t="s">
        <v>60</v>
      </c>
      <c r="D110" s="1" t="n">
        <v>1500</v>
      </c>
    </row>
    <row r="111" customFormat="false" ht="17.15" hidden="false" customHeight="false" outlineLevel="0" collapsed="false">
      <c r="A111" s="0" t="s">
        <v>235</v>
      </c>
      <c r="B111" s="55" t="s">
        <v>329</v>
      </c>
      <c r="C111" s="54" t="s">
        <v>60</v>
      </c>
      <c r="D111" s="1" t="n">
        <v>2000</v>
      </c>
    </row>
    <row r="112" customFormat="false" ht="17.15" hidden="false" customHeight="false" outlineLevel="0" collapsed="false">
      <c r="A112" s="0" t="s">
        <v>235</v>
      </c>
      <c r="B112" s="55" t="s">
        <v>327</v>
      </c>
      <c r="C112" s="54" t="s">
        <v>305</v>
      </c>
      <c r="D112" s="1" t="n">
        <v>300</v>
      </c>
    </row>
    <row r="113" customFormat="false" ht="17.15" hidden="false" customHeight="false" outlineLevel="0" collapsed="false">
      <c r="A113" s="0" t="s">
        <v>235</v>
      </c>
      <c r="B113" s="55" t="s">
        <v>301</v>
      </c>
      <c r="C113" s="54" t="s">
        <v>71</v>
      </c>
      <c r="D113" s="1" t="n">
        <v>40</v>
      </c>
    </row>
    <row r="114" customFormat="false" ht="17.15" hidden="false" customHeight="false" outlineLevel="0" collapsed="false">
      <c r="A114" s="0" t="s">
        <v>235</v>
      </c>
      <c r="B114" s="55" t="s">
        <v>71</v>
      </c>
      <c r="C114" s="54" t="s">
        <v>71</v>
      </c>
      <c r="D114" s="1" t="n">
        <v>400</v>
      </c>
    </row>
    <row r="115" customFormat="false" ht="17.15" hidden="false" customHeight="false" outlineLevel="0" collapsed="false">
      <c r="A115" s="0" t="s">
        <v>235</v>
      </c>
      <c r="B115" s="55" t="s">
        <v>330</v>
      </c>
      <c r="C115" s="54" t="s">
        <v>305</v>
      </c>
      <c r="D115" s="1" t="n">
        <v>20</v>
      </c>
    </row>
    <row r="116" customFormat="false" ht="17.15" hidden="false" customHeight="false" outlineLevel="0" collapsed="false">
      <c r="A116" s="0" t="s">
        <v>235</v>
      </c>
      <c r="B116" s="55" t="s">
        <v>331</v>
      </c>
      <c r="C116" s="54" t="s">
        <v>72</v>
      </c>
      <c r="D116" s="1" t="n">
        <v>20</v>
      </c>
    </row>
    <row r="117" customFormat="false" ht="17.15" hidden="false" customHeight="false" outlineLevel="0" collapsed="false">
      <c r="A117" s="54" t="s">
        <v>246</v>
      </c>
      <c r="B117" s="1" t="s">
        <v>332</v>
      </c>
      <c r="C117" s="54" t="s">
        <v>64</v>
      </c>
      <c r="D117" s="1" t="n">
        <v>1000</v>
      </c>
    </row>
    <row r="118" customFormat="false" ht="17.15" hidden="false" customHeight="false" outlineLevel="0" collapsed="false">
      <c r="A118" s="54" t="s">
        <v>246</v>
      </c>
      <c r="B118" s="1" t="s">
        <v>333</v>
      </c>
      <c r="C118" s="54" t="s">
        <v>305</v>
      </c>
      <c r="D118" s="1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334</v>
      </c>
      <c r="B1" s="0" t="s">
        <v>335</v>
      </c>
      <c r="C1" s="0" t="s">
        <v>336</v>
      </c>
    </row>
    <row r="2" customFormat="false" ht="17.15" hidden="false" customHeight="false" outlineLevel="0" collapsed="false">
      <c r="A2" s="54" t="s">
        <v>75</v>
      </c>
      <c r="B2" s="0" t="s">
        <v>337</v>
      </c>
      <c r="C2" s="0" t="n">
        <v>2000</v>
      </c>
    </row>
    <row r="3" customFormat="false" ht="15" hidden="false" customHeight="false" outlineLevel="0" collapsed="false">
      <c r="A3" s="54" t="s">
        <v>76</v>
      </c>
      <c r="B3" s="54" t="s">
        <v>338</v>
      </c>
      <c r="C3" s="0" t="n">
        <v>2000</v>
      </c>
    </row>
    <row r="4" customFormat="false" ht="15" hidden="false" customHeight="false" outlineLevel="0" collapsed="false">
      <c r="A4" s="54" t="s">
        <v>94</v>
      </c>
      <c r="B4" s="54" t="s">
        <v>94</v>
      </c>
      <c r="C4" s="0" t="n">
        <v>2000</v>
      </c>
    </row>
    <row r="5" customFormat="false" ht="17.15" hidden="false" customHeight="false" outlineLevel="0" collapsed="false">
      <c r="A5" s="54" t="s">
        <v>93</v>
      </c>
      <c r="B5" s="0" t="s">
        <v>271</v>
      </c>
      <c r="C5" s="0" t="n">
        <v>2000</v>
      </c>
    </row>
    <row r="6" customFormat="false" ht="17.15" hidden="false" customHeight="false" outlineLevel="0" collapsed="false">
      <c r="A6" s="0" t="s">
        <v>263</v>
      </c>
      <c r="B6" s="54" t="s">
        <v>262</v>
      </c>
      <c r="C6" s="0" t="n">
        <v>1000</v>
      </c>
    </row>
    <row r="7" customFormat="false" ht="15" hidden="false" customHeight="false" outlineLevel="0" collapsed="false">
      <c r="A7" s="54" t="s">
        <v>60</v>
      </c>
      <c r="B7" s="54" t="s">
        <v>326</v>
      </c>
      <c r="C7" s="0" t="n">
        <v>5000</v>
      </c>
    </row>
    <row r="8" customFormat="false" ht="17.15" hidden="false" customHeight="false" outlineLevel="0" collapsed="false">
      <c r="A8" s="54" t="s">
        <v>64</v>
      </c>
      <c r="B8" s="0" t="s">
        <v>313</v>
      </c>
      <c r="C8" s="0" t="n">
        <v>2000</v>
      </c>
    </row>
    <row r="9" customFormat="false" ht="17.15" hidden="false" customHeight="false" outlineLevel="0" collapsed="false">
      <c r="A9" s="54" t="s">
        <v>80</v>
      </c>
      <c r="B9" s="54" t="s">
        <v>339</v>
      </c>
      <c r="C9" s="0" t="n">
        <v>1000</v>
      </c>
    </row>
    <row r="10" customFormat="false" ht="17.15" hidden="false" customHeight="false" outlineLevel="0" collapsed="false">
      <c r="A10" s="54" t="s">
        <v>91</v>
      </c>
      <c r="B10" s="0" t="s">
        <v>268</v>
      </c>
      <c r="C10" s="0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2022-06-08T10:29:30Z</dcterms:created>
  <dc:creator>user</dc:creator>
  <dc:description/>
  <dc:language>en-US</dc:language>
  <cp:lastModifiedBy>Windows</cp:lastModifiedBy>
  <cp:lastPrinted>2026-05-12T16:05:05Z</cp:lastPrinted>
  <dcterms:modified xsi:type="dcterms:W3CDTF">2026-07-13T08:24:14Z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