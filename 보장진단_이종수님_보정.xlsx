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📋확인사항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<sst xmlns="http://schemas.openxmlformats.org/spreadsheetml/2006/main" count="407" uniqueCount="250">
  <si>
    <t xml:space="preserve">이종수님 보장진단</t>
  </si>
  <si>
    <r>
      <rPr>
        <b val="true"/>
        <sz val="9"/>
        <color rgb="FFFFFFFF"/>
        <rFont val="Noto Sans CJK SC"/>
        <family val="2"/>
      </rPr>
      <t xml:space="preserve">삼성생명
삼성 </t>
    </r>
    <r>
      <rPr>
        <b val="true"/>
        <sz val="9"/>
        <color rgb="FFFFFFFF"/>
        <rFont val="맑은 고딕"/>
        <family val="0"/>
        <charset val="1"/>
      </rPr>
      <t xml:space="preserve">The</t>
    </r>
    <r>
      <rPr>
        <b val="true"/>
        <sz val="9"/>
        <color rgb="FFFFFFFF"/>
        <rFont val="Noto Sans CJK SC"/>
        <family val="2"/>
      </rPr>
      <t xml:space="preserve">퍼스트건강보험（</t>
    </r>
    <r>
      <rPr>
        <b val="true"/>
        <sz val="9"/>
        <color rgb="FFFFFFFF"/>
        <rFont val="맑은 고딕"/>
        <family val="0"/>
        <charset val="1"/>
      </rPr>
      <t xml:space="preserve">2601</t>
    </r>
    <r>
      <rPr>
        <b val="true"/>
        <sz val="9"/>
        <color rgb="FFFFFFFF"/>
        <rFont val="Noto Sans CJK SC"/>
        <family val="2"/>
      </rPr>
      <t xml:space="preserve">）（무배당</t>
    </r>
    <r>
      <rPr>
        <b val="true"/>
        <sz val="9"/>
        <color rgb="FFFFFFFF"/>
        <rFont val="맑은 고딕"/>
        <family val="0"/>
        <charset val="1"/>
      </rPr>
      <t xml:space="preserve">,</t>
    </r>
    <r>
      <rPr>
        <b val="true"/>
        <sz val="9"/>
        <color rgb="FFFFFFFF"/>
        <rFont val="Noto Sans CJK SC"/>
        <family val="2"/>
      </rPr>
      <t xml:space="preserve">무해약환급금형）</t>
    </r>
    <r>
      <rPr>
        <b val="true"/>
        <sz val="9"/>
        <color rgb="FFFFFFFF"/>
        <rFont val="맑은 고딕"/>
        <family val="0"/>
        <charset val="1"/>
      </rPr>
      <t xml:space="preserve">_</t>
    </r>
    <r>
      <rPr>
        <b val="true"/>
        <sz val="9"/>
        <color rgb="FFFFFFFF"/>
        <rFont val="Noto Sans CJK SC"/>
        <family val="2"/>
      </rPr>
      <t xml:space="preserve">간편</t>
    </r>
    <r>
      <rPr>
        <b val="true"/>
        <sz val="9"/>
        <color rgb="FFFFFFFF"/>
        <rFont val="맑은 고딕"/>
        <family val="0"/>
        <charset val="1"/>
      </rPr>
      <t xml:space="preserve">3.10.5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</si>
  <si>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라이나생명
무배당새로담는간편 건강보험 （</t>
    </r>
    <r>
      <rPr>
        <b val="true"/>
        <sz val="9"/>
        <color rgb="FFFFFFFF"/>
        <rFont val="맑은 고딕"/>
        <family val="0"/>
        <charset val="1"/>
      </rPr>
      <t xml:space="preserve">3.5.5</t>
    </r>
    <r>
      <rPr>
        <b val="true"/>
        <sz val="9"/>
        <color rgb="FFFFFFFF"/>
        <rFont val="Noto Sans CJK SC"/>
        <family val="2"/>
      </rPr>
      <t xml:space="preserve">）（해약환급금미지급형 </t>
    </r>
    <r>
      <rPr>
        <b val="true"/>
        <sz val="9"/>
        <color rgb="FFFFFFFF"/>
        <rFont val="맑은 고딕"/>
        <family val="0"/>
        <charset val="1"/>
      </rPr>
      <t xml:space="preserve">II</t>
    </r>
    <r>
      <rPr>
        <b val="true"/>
        <sz val="9"/>
        <color rgb="FFFFFFFF"/>
        <rFont val="Noto Sans CJK SC"/>
        <family val="2"/>
      </rPr>
      <t xml:space="preserve">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</si>
  <si>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KB</t>
    </r>
    <r>
      <rPr>
        <b val="true"/>
        <sz val="9"/>
        <color rgb="FFFFFFFF"/>
        <rFont val="Noto Sans CJK SC"/>
        <family val="2"/>
      </rPr>
      <t xml:space="preserve">손보
（무》</t>
    </r>
    <r>
      <rPr>
        <b val="true"/>
        <sz val="9"/>
        <color rgb="FFFFFFFF"/>
        <rFont val="맑은 고딕"/>
        <family val="0"/>
        <charset val="1"/>
      </rPr>
      <t xml:space="preserve">KB </t>
    </r>
    <r>
      <rPr>
        <b val="true"/>
        <sz val="9"/>
        <color rgb="FFFFFFFF"/>
        <rFont val="Noto Sans CJK SC"/>
        <family val="2"/>
      </rPr>
      <t xml:space="preserve">가정보험과 온가족행복하게사는이야기（</t>
    </r>
    <r>
      <rPr>
        <b val="true"/>
        <sz val="9"/>
        <color rgb="FFFFFFFF"/>
        <rFont val="맑은 고딕"/>
        <family val="0"/>
        <charset val="1"/>
      </rPr>
      <t xml:space="preserve">21.05</t>
    </r>
    <r>
      <rPr>
        <b val="true"/>
        <sz val="9"/>
        <color rgb="FFFFFFFF"/>
        <rFont val="Noto Sans CJK SC"/>
        <family val="2"/>
      </rPr>
      <t xml:space="preserve">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</si>
  <si>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KB</t>
    </r>
    <r>
      <rPr>
        <b val="true"/>
        <sz val="9"/>
        <color rgb="FFFFFFFF"/>
        <rFont val="Noto Sans CJK SC"/>
        <family val="2"/>
      </rPr>
      <t xml:space="preserve">손보
</t>
    </r>
    <r>
      <rPr>
        <b val="true"/>
        <sz val="9"/>
        <color rgb="FFFFFFFF"/>
        <rFont val="맑은 고딕"/>
        <family val="0"/>
        <charset val="1"/>
      </rPr>
      <t xml:space="preserve">KB 3.N.5 </t>
    </r>
    <r>
      <rPr>
        <b val="true"/>
        <sz val="9"/>
        <color rgb="FFFFFFFF"/>
        <rFont val="Noto Sans CJK SC"/>
        <family val="2"/>
      </rPr>
      <t xml:space="preserve">슬기로운간편건강보험</t>
    </r>
    <r>
      <rPr>
        <b val="true"/>
        <sz val="9"/>
        <color rgb="FFFFFFFF"/>
        <rFont val="맑은 고딕"/>
        <family val="0"/>
        <charset val="1"/>
      </rPr>
      <t xml:space="preserve">Plus</t>
    </r>
    <r>
      <rPr>
        <b val="true"/>
        <sz val="9"/>
        <color rgb="FFFFFFFF"/>
        <rFont val="Noto Sans CJK SC"/>
        <family val="2"/>
      </rPr>
      <t xml:space="preserve">（연만기갱신형）（무배당）（</t>
    </r>
    <r>
      <rPr>
        <b val="true"/>
        <sz val="9"/>
        <color rgb="FFFFFFFF"/>
        <rFont val="맑은 고딕"/>
        <family val="0"/>
        <charset val="1"/>
      </rPr>
      <t xml:space="preserve">25.01</t>
    </r>
    <r>
      <rPr>
        <b val="true"/>
        <sz val="9"/>
        <color rgb="FFFFFFFF"/>
        <rFont val="Noto Sans CJK SC"/>
        <family val="2"/>
      </rPr>
      <t xml:space="preserve">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</si>
  <si>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KB</t>
    </r>
    <r>
      <rPr>
        <b val="true"/>
        <sz val="9"/>
        <color rgb="FFFFFFFF"/>
        <rFont val="Noto Sans CJK SC"/>
        <family val="2"/>
      </rPr>
      <t xml:space="preserve">손보
</t>
    </r>
    <r>
      <rPr>
        <b val="true"/>
        <sz val="9"/>
        <color rgb="FFFFFFFF"/>
        <rFont val="맑은 고딕"/>
        <family val="0"/>
        <charset val="1"/>
      </rPr>
      <t xml:space="preserve">KB </t>
    </r>
    <r>
      <rPr>
        <b val="true"/>
        <sz val="9"/>
        <color rgb="FFFFFFFF"/>
        <rFont val="Noto Sans CJK SC"/>
        <family val="2"/>
      </rPr>
      <t xml:space="preserve">플러스 운전자상해보험（무배당）（</t>
    </r>
    <r>
      <rPr>
        <b val="true"/>
        <sz val="9"/>
        <color rgb="FFFFFFFF"/>
        <rFont val="맑은 고딕"/>
        <family val="0"/>
        <charset val="1"/>
      </rPr>
      <t xml:space="preserve">25.01</t>
    </r>
    <r>
      <rPr>
        <b val="true"/>
        <sz val="9"/>
        <color rgb="FFFFFFFF"/>
        <rFont val="Noto Sans CJK SC"/>
        <family val="2"/>
      </rPr>
      <t xml:space="preserve">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</si>
  <si>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애손보
훼밀리 라이프보험 </t>
    </r>
    <r>
      <rPr>
        <b val="true"/>
        <sz val="9"/>
        <color rgb="FFFFFFFF"/>
        <rFont val="맑은 고딕"/>
        <family val="0"/>
        <charset val="1"/>
      </rPr>
      <t xml:space="preserve">1206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
(2</t>
    </r>
    <r>
      <rPr>
        <b val="true"/>
        <sz val="9"/>
        <color rgb="FFFFFFFF"/>
        <rFont val="Noto Sans CJK SC"/>
        <family val="2"/>
      </rPr>
      <t xml:space="preserve">세대 실손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</si>
  <si>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합계</t>
  </si>
  <si>
    <t xml:space="preserve">보험료</t>
  </si>
  <si>
    <t xml:space="preserve">가입년일</t>
  </si>
  <si>
    <t xml:space="preserve">2026.02.13</t>
  </si>
  <si>
    <t xml:space="preserve">2025.08.06</t>
  </si>
  <si>
    <t xml:space="preserve">2021.09.27</t>
  </si>
  <si>
    <t xml:space="preserve">2025.03.14</t>
  </si>
  <si>
    <t xml:space="preserve">2012.08.20</t>
  </si>
  <si>
    <t xml:space="preserve">만기일자</t>
  </si>
  <si>
    <t xml:space="preserve">9999.12.31</t>
  </si>
  <si>
    <t xml:space="preserve">2059.08.06</t>
  </si>
  <si>
    <t xml:space="preserve">2036.09.27</t>
  </si>
  <si>
    <t xml:space="preserve">2069.03.14</t>
  </si>
  <si>
    <t xml:space="preserve">2045.03.14</t>
  </si>
  <si>
    <t xml:space="preserve">2059.08.20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</si>
  <si>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</si>
  <si>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(5/240)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</si>
  <si>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(11/240)</t>
    </r>
  </si>
  <si>
    <r>
      <rPr>
        <sz val="9"/>
        <color rgb="FF0070C0"/>
        <rFont val="맑은 고딕"/>
        <family val="0"/>
        <charset val="1"/>
      </rPr>
      <t xml:space="preserve">15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(58/180)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</si>
  <si>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(16/240)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</si>
  <si>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(167/240)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</si>
  <si>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</si>
  <si>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</si>
  <si>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</si>
  <si>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</si>
  <si>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</si>
  <si>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</si>
  <si>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</si>
  <si>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</si>
  <si>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</si>
  <si>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</si>
  <si>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</si>
  <si>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</si>
  <si>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</si>
  <si>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</si>
  <si>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</si>
  <si>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</si>
  <si>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</si>
  <si>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</si>
  <si>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</si>
  <si>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</si>
  <si>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</si>
  <si>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</si>
  <si>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</si>
  <si>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</si>
  <si>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</si>
  <si>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</si>
  <si>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</si>
  <si>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</si>
  <si>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</si>
  <si>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</si>
  <si>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</si>
  <si>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</si>
  <si>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</si>
  <si>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</si>
  <si>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</si>
  <si>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</si>
  <si>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</si>
  <si>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</si>
  <si>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</si>
  <si>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</si>
  <si>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</si>
  <si>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</si>
  <si>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</si>
  <si>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</si>
  <si>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</si>
  <si>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</si>
  <si>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</si>
  <si>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</si>
  <si>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</si>
  <si>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</si>
  <si>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</si>
  <si>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</si>
  <si>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</si>
  <si>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</si>
  <si>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</si>
  <si>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</si>
  <si>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</si>
  <si>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</si>
  <si>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</si>
  <si>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</si>
  <si>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</si>
  <si>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</si>
  <si>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</si>
  <si>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</si>
  <si>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</si>
  <si>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종수술비(1-5종)</t>
  </si>
  <si>
    <t xml:space="preserve">110/0/0/500/500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</si>
  <si>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</si>
  <si>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</si>
  <si>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</si>
  <si>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</si>
  <si>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</si>
  <si>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</si>
  <si>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</si>
  <si>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</si>
  <si>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</si>
  <si>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</si>
  <si>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</si>
  <si>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</si>
  <si>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</si>
  <si>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</si>
  <si>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</si>
  <si>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</si>
  <si>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</si>
  <si>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</si>
  <si>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</si>
  <si>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</si>
  <si>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</si>
  <si>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</si>
  <si>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</si>
  <si>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</si>
  <si>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</si>
  <si>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</si>
  <si>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</si>
  <si>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</si>
  <si>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</si>
  <si>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</si>
  <si>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</si>
  <si>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</si>
  <si>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</si>
  <si>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</si>
  <si>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</si>
  <si>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</si>
  <si>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</si>
  <si>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</si>
  <si>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</si>
  <si>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</si>
  <si>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</si>
  <si>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</si>
  <si>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</si>
  <si>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</si>
  <si>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</si>
  <si>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</si>
  <si>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</si>
  <si>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</si>
  <si>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</si>
  <si>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</si>
  <si>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</si>
  <si>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</si>
  <si>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</si>
  <si>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</si>
  <si>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</si>
  <si>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</si>
  <si>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</si>
  <si>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</si>
  <si>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</si>
  <si>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</si>
  <si>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</si>
  <si>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</si>
  <si>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</si>
  <si>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</si>
  <si>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</si>
  <si>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</si>
  <si>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이종수님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2026.07.08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</si>
  <si>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</si>
  <si>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</si>
  <si>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391,670</t>
    </r>
    <r>
      <rPr>
        <sz val="11"/>
        <color rgb="FF000000"/>
        <rFont val="Noto Sans CJK SC"/>
        <family val="2"/>
      </rPr>
      <t xml:space="preserve">원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</si>
  <si>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</si>
  <si>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</si>
  <si>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</si>
  <si>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</si>
  <si>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</si>
  <si>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</si>
  <si>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삼성생명</t>
  </si>
  <si>
    <r>
      <rPr>
        <sz val="11"/>
        <color rgb="FF000000"/>
        <rFont val="맑은 고딕"/>
        <family val="3"/>
        <charset val="129"/>
      </rPr>
      <t xml:space="preserve">Ae </t>
    </r>
    <r>
      <rPr>
        <sz val="11"/>
        <color rgb="FF000000"/>
        <rFont val="Noto Sans CJK SC"/>
        <family val="2"/>
      </rPr>
      <t xml:space="preserve">퍼스트건강보험 （</t>
    </r>
    <r>
      <rPr>
        <sz val="11"/>
        <color rgb="FF000000"/>
        <rFont val="맑은 고딕"/>
        <family val="3"/>
        <charset val="129"/>
      </rPr>
      <t xml:space="preserve">2601</t>
    </r>
    <r>
      <rPr>
        <sz val="11"/>
        <color rgb="FF000000"/>
        <rFont val="Noto Sans CJK SC"/>
        <family val="2"/>
      </rPr>
      <t xml:space="preserve">）（무배당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무해약환급금형）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무해약환</t>
    </r>
  </si>
  <si>
    <t xml:space="preserve">🔗약관검색</t>
  </si>
  <si>
    <r>
      <rPr>
        <sz val="11"/>
        <color rgb="FF000000"/>
        <rFont val="Noto Sans CJK SC"/>
        <family val="2"/>
      </rPr>
      <t xml:space="preserve">심</t>
    </r>
    <r>
      <rPr>
        <sz val="11"/>
        <color rgb="FF000000"/>
        <rFont val="맑은 고딕"/>
        <family val="3"/>
        <charset val="129"/>
      </rPr>
      <t xml:space="preserve">'</t>
    </r>
    <r>
      <rPr>
        <sz val="11"/>
        <color rgb="FF000000"/>
        <rFont val="Noto Sans CJK SC"/>
        <family val="2"/>
      </rPr>
      <t xml:space="preserve">성</t>
    </r>
  </si>
  <si>
    <r>
      <rPr>
        <sz val="11"/>
        <color rgb="FF000000"/>
        <rFont val="Noto Sans CJK SC"/>
        <family val="2"/>
      </rPr>
      <t xml:space="preserve">급금형심</t>
    </r>
    <r>
      <rPr>
        <sz val="11"/>
        <color rgb="FF000000"/>
        <rFont val="맑은 고딕"/>
        <family val="3"/>
        <charset val="129"/>
      </rPr>
      <t xml:space="preserve">'</t>
    </r>
    <r>
      <rPr>
        <sz val="11"/>
        <color rgb="FF000000"/>
        <rFont val="Noto Sans CJK SC"/>
        <family val="2"/>
      </rPr>
      <t xml:space="preserve">성</t>
    </r>
  </si>
  <si>
    <r>
      <rPr>
        <sz val="11"/>
        <color rgb="FF000000"/>
        <rFont val="Noto Sans CJK SC"/>
        <family val="2"/>
      </rPr>
      <t xml:space="preserve">암직접치료보장특약 </t>
    </r>
    <r>
      <rPr>
        <sz val="11"/>
        <color rgb="FF000000"/>
        <rFont val="맑은 고딕"/>
        <family val="3"/>
        <charset val="129"/>
      </rPr>
      <t xml:space="preserve">II AT</t>
    </r>
    <r>
      <rPr>
        <sz val="11"/>
        <color rgb="FF000000"/>
        <rFont val="Noto Sans CJK SC"/>
        <family val="2"/>
      </rPr>
      <t xml:space="preserve">（무배당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무해약환급금형）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무해약환급</t>
    </r>
  </si>
  <si>
    <r>
      <rPr>
        <sz val="11"/>
        <color rgb="FF000000"/>
        <rFont val="Noto Sans CJK SC"/>
        <family val="2"/>
      </rPr>
      <t xml:space="preserve">금형프리 미 엄 암직 접 치 료보장특약</t>
    </r>
    <r>
      <rPr>
        <sz val="11"/>
        <color rgb="FF000000"/>
        <rFont val="맑은 고딕"/>
        <family val="3"/>
        <charset val="129"/>
      </rPr>
      <t xml:space="preserve">AT</t>
    </r>
    <r>
      <rPr>
        <sz val="11"/>
        <color rgb="FF000000"/>
        <rFont val="Noto Sans CJK SC"/>
        <family val="2"/>
      </rPr>
      <t xml:space="preserve">（무배 당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무해약환급금형）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무해</t>
    </r>
  </si>
  <si>
    <t xml:space="preserve">약환급금형</t>
  </si>
  <si>
    <t xml:space="preserve">환급금형</t>
  </si>
  <si>
    <t xml:space="preserve">라이나생명</t>
  </si>
  <si>
    <r>
      <rPr>
        <sz val="11"/>
        <color rgb="FF000000"/>
        <rFont val="Noto Sans CJK SC"/>
        <family val="2"/>
      </rPr>
      <t xml:space="preserve">무배당새로담는간편 건강보험 （</t>
    </r>
    <r>
      <rPr>
        <sz val="11"/>
        <color rgb="FF000000"/>
        <rFont val="맑은 고딕"/>
        <family val="3"/>
        <charset val="129"/>
      </rPr>
      <t xml:space="preserve">3.5.5</t>
    </r>
    <r>
      <rPr>
        <sz val="11"/>
        <color rgb="FF000000"/>
        <rFont val="Noto Sans CJK SC"/>
        <family val="2"/>
      </rPr>
      <t xml:space="preserve">）（해약환급금미지급형 </t>
    </r>
    <r>
      <rPr>
        <sz val="11"/>
        <color rgb="FF000000"/>
        <rFont val="맑은 고딕"/>
        <family val="3"/>
        <charset val="129"/>
      </rPr>
      <t xml:space="preserve">II </t>
    </r>
    <r>
      <rPr>
        <sz val="11"/>
        <color rgb="FF000000"/>
        <rFont val="Noto Sans CJK SC"/>
        <family val="2"/>
      </rPr>
      <t xml:space="preserve">）</t>
    </r>
  </si>
  <si>
    <r>
      <rPr>
        <sz val="11"/>
        <color rgb="FF000000"/>
        <rFont val="Noto Sans CJK SC"/>
        <family val="2"/>
      </rPr>
      <t xml:space="preserve">무배당새로담는간편상급종합병원통합암직접치료특약 </t>
    </r>
    <r>
      <rPr>
        <sz val="11"/>
        <color rgb="FF000000"/>
        <rFont val="맑은 고딕"/>
        <family val="3"/>
        <charset val="129"/>
      </rPr>
      <t xml:space="preserve">_ </t>
    </r>
    <r>
      <rPr>
        <sz val="11"/>
        <color rgb="FF000000"/>
        <rFont val="Noto Sans CJK SC"/>
        <family val="2"/>
      </rPr>
      <t xml:space="preserve">소장 및</t>
    </r>
  </si>
  <si>
    <r>
      <rPr>
        <sz val="11"/>
        <color rgb="FF000000"/>
        <rFont val="Noto Sans CJK SC"/>
        <family val="2"/>
      </rPr>
      <t xml:space="preserve">대장암（</t>
    </r>
    <r>
      <rPr>
        <sz val="11"/>
        <color rgb="FF000000"/>
        <rFont val="맑은 고딕"/>
        <family val="3"/>
        <charset val="129"/>
      </rPr>
      <t xml:space="preserve">3.5.5</t>
    </r>
    <r>
      <rPr>
        <sz val="11"/>
        <color rgb="FF000000"/>
        <rFont val="Noto Sans CJK SC"/>
        <family val="2"/>
      </rPr>
      <t xml:space="preserve">）（해약환급금 미지급형 </t>
    </r>
    <r>
      <rPr>
        <sz val="11"/>
        <color rgb="FF000000"/>
        <rFont val="맑은 고딕"/>
        <family val="3"/>
        <charset val="129"/>
      </rPr>
      <t xml:space="preserve">II</t>
    </r>
    <r>
      <rPr>
        <sz val="11"/>
        <color rgb="FF000000"/>
        <rFont val="Noto Sans CJK SC"/>
        <family val="2"/>
      </rPr>
      <t xml:space="preserve">）무배당새로담는간편상급종합병원통합암직접치료특약 </t>
    </r>
    <r>
      <rPr>
        <sz val="11"/>
        <color rgb="FF000000"/>
        <rFont val="맑은 고딕"/>
        <family val="3"/>
        <charset val="129"/>
      </rPr>
      <t xml:space="preserve">_ </t>
    </r>
    <r>
      <rPr>
        <sz val="11"/>
        <color rgb="FF000000"/>
        <rFont val="Noto Sans CJK SC"/>
        <family val="2"/>
      </rPr>
      <t xml:space="preserve">식도 및</t>
    </r>
  </si>
  <si>
    <r>
      <rPr>
        <sz val="11"/>
        <color rgb="FF000000"/>
        <rFont val="Noto Sans CJK SC"/>
        <family val="2"/>
      </rPr>
      <t xml:space="preserve">위암（</t>
    </r>
    <r>
      <rPr>
        <sz val="11"/>
        <color rgb="FF000000"/>
        <rFont val="맑은 고딕"/>
        <family val="3"/>
        <charset val="129"/>
      </rPr>
      <t xml:space="preserve">3.5.5</t>
    </r>
    <r>
      <rPr>
        <sz val="11"/>
        <color rgb="FF000000"/>
        <rFont val="Noto Sans CJK SC"/>
        <family val="2"/>
      </rPr>
      <t xml:space="preserve">）（해약환급금미지급형 </t>
    </r>
    <r>
      <rPr>
        <sz val="11"/>
        <color rgb="FF000000"/>
        <rFont val="맑은 고딕"/>
        <family val="3"/>
        <charset val="129"/>
      </rPr>
      <t xml:space="preserve">II </t>
    </r>
    <r>
      <rPr>
        <sz val="11"/>
        <color rgb="FF000000"/>
        <rFont val="Noto Sans CJK SC"/>
        <family val="2"/>
      </rPr>
      <t xml:space="preserve">）무배당간편고지프리 미엄 암직접 치료특약（</t>
    </r>
    <r>
      <rPr>
        <sz val="11"/>
        <color rgb="FF000000"/>
        <rFont val="맑은 고딕"/>
        <family val="3"/>
        <charset val="129"/>
      </rPr>
      <t xml:space="preserve">3.5.5</t>
    </r>
    <r>
      <rPr>
        <sz val="11"/>
        <color rgb="FF000000"/>
        <rFont val="Noto Sans CJK SC"/>
        <family val="2"/>
      </rPr>
      <t xml:space="preserve">）（해약환급금 미 무배당새로담는간편상급종합병원통합암직접치료특약 </t>
    </r>
    <r>
      <rPr>
        <sz val="11"/>
        <color rgb="FF000000"/>
        <rFont val="맑은 고딕"/>
        <family val="3"/>
        <charset val="129"/>
      </rPr>
      <t xml:space="preserve">_ </t>
    </r>
    <r>
      <rPr>
        <sz val="11"/>
        <color rgb="FF000000"/>
        <rFont val="Noto Sans CJK SC"/>
        <family val="2"/>
      </rPr>
      <t xml:space="preserve">폐 및기</t>
    </r>
  </si>
  <si>
    <r>
      <rPr>
        <sz val="11"/>
        <color rgb="FF000000"/>
        <rFont val="맑은 고딕"/>
        <family val="3"/>
        <charset val="129"/>
      </rPr>
      <t xml:space="preserve">KB</t>
    </r>
    <r>
      <rPr>
        <sz val="11"/>
        <color rgb="FF000000"/>
        <rFont val="Noto Sans CJK SC"/>
        <family val="2"/>
      </rPr>
      <t xml:space="preserve">손보</t>
    </r>
  </si>
  <si>
    <r>
      <rPr>
        <sz val="11"/>
        <color rgb="FF000000"/>
        <rFont val="Noto Sans CJK SC"/>
        <family val="2"/>
      </rPr>
      <t xml:space="preserve">화재상해후유장해（</t>
    </r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시 </t>
    </r>
    <r>
      <rPr>
        <sz val="11"/>
        <color rgb="FF000000"/>
        <rFont val="맑은 고딕"/>
        <family val="3"/>
        <charset val="129"/>
      </rPr>
      <t xml:space="preserve">00%</t>
    </r>
    <r>
      <rPr>
        <sz val="11"/>
        <color rgb="FF000000"/>
        <rFont val="Noto Sans CJK SC"/>
        <family val="2"/>
      </rPr>
      <t xml:space="preserve">）（기본계약）</t>
    </r>
  </si>
  <si>
    <r>
      <rPr>
        <sz val="11"/>
        <color rgb="FF000000"/>
        <rFont val="Noto Sans CJK SC"/>
        <family val="2"/>
      </rPr>
      <t xml:space="preserve">종합병원상해입원 일당（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일이상）</t>
    </r>
  </si>
  <si>
    <r>
      <rPr>
        <sz val="11"/>
        <color rgb="FF000000"/>
        <rFont val="Noto Sans CJK SC"/>
        <family val="2"/>
      </rPr>
      <t xml:space="preserve">상해사고부상보장 </t>
    </r>
    <r>
      <rPr>
        <sz val="11"/>
        <color rgb="FF000000"/>
        <rFont val="맑은 고딕"/>
        <family val="3"/>
        <charset val="129"/>
      </rPr>
      <t xml:space="preserve">I</t>
    </r>
  </si>
  <si>
    <t xml:space="preserve">응급실내원비 （비응급）</t>
  </si>
  <si>
    <r>
      <rPr>
        <sz val="11"/>
        <color rgb="FF000000"/>
        <rFont val="Noto Sans CJK SC"/>
        <family val="2"/>
      </rPr>
      <t xml:space="preserve">질병입원일당（요양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정신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한방병원제외</t>
    </r>
    <r>
      <rPr>
        <sz val="11"/>
        <color rgb="FF000000"/>
        <rFont val="맑은 고딕"/>
        <family val="3"/>
        <charset val="129"/>
      </rPr>
      <t xml:space="preserve">,181 </t>
    </r>
    <r>
      <rPr>
        <sz val="11"/>
        <color rgb="FF000000"/>
        <rFont val="Noto Sans CJK SC"/>
        <family val="2"/>
      </rPr>
      <t xml:space="preserve">일이상）（간편가입）（</t>
    </r>
  </si>
  <si>
    <r>
      <rPr>
        <sz val="11"/>
        <color rgb="FF000000"/>
        <rFont val="맑은 고딕"/>
        <family val="3"/>
        <charset val="129"/>
      </rPr>
      <t xml:space="preserve">i </t>
    </r>
    <r>
      <rPr>
        <sz val="11"/>
        <color rgb="FF000000"/>
        <rFont val="Noto Sans CJK SC"/>
        <family val="2"/>
      </rPr>
      <t xml:space="preserve">병€원일당（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일이상）（요양병원）（감액없음）（간편가입）（갱신 </t>
    </r>
    <r>
      <rPr>
        <sz val="11"/>
        <color rgb="FF000000"/>
        <rFont val="맑은 고딕"/>
        <family val="3"/>
        <charset val="129"/>
      </rPr>
      <t xml:space="preserve">5 </t>
    </r>
    <r>
      <rPr>
        <sz val="11"/>
        <color rgb="FF000000"/>
        <rFont val="Noto Sans CJK SC"/>
        <family val="2"/>
      </rPr>
      <t xml:space="preserve">보험료납입면제대상보장（</t>
    </r>
    <r>
      <rPr>
        <sz val="11"/>
        <color rgb="FF000000"/>
        <rFont val="맑은 고딕"/>
        <family val="3"/>
        <charset val="129"/>
      </rPr>
      <t xml:space="preserve">5 </t>
    </r>
    <r>
      <rPr>
        <sz val="11"/>
        <color rgb="FF000000"/>
        <rFont val="Noto Sans CJK SC"/>
        <family val="2"/>
      </rPr>
      <t xml:space="preserve">대기본） （간편가입）（갱신형）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</si>
  <si>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해€원일당（요양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정신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한방병원제외</t>
    </r>
    <r>
      <rPr>
        <sz val="11"/>
        <color rgb="FF000000"/>
        <rFont val="맑은 고딕"/>
        <family val="3"/>
        <charset val="129"/>
      </rPr>
      <t xml:space="preserve">,181 </t>
    </r>
    <r>
      <rPr>
        <sz val="11"/>
        <color rgb="FF000000"/>
        <rFont val="Noto Sans CJK SC"/>
        <family val="2"/>
      </rPr>
      <t xml:space="preserve">일이상）（간편가입）（</t>
    </r>
  </si>
  <si>
    <r>
      <rPr>
        <sz val="11"/>
        <color rgb="FF000000"/>
        <rFont val="맑은 고딕"/>
        <family val="3"/>
        <charset val="129"/>
      </rPr>
      <t xml:space="preserve">i </t>
    </r>
    <r>
      <rPr>
        <sz val="11"/>
        <color rgb="FF000000"/>
        <rFont val="Noto Sans CJK SC"/>
        <family val="2"/>
      </rPr>
      <t xml:space="preserve">병€원일당（요양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정신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한방병원제외</t>
    </r>
    <r>
      <rPr>
        <sz val="11"/>
        <color rgb="FF000000"/>
        <rFont val="맑은 고딕"/>
        <family val="3"/>
        <charset val="129"/>
      </rPr>
      <t xml:space="preserve">,181 </t>
    </r>
    <r>
      <rPr>
        <sz val="11"/>
        <color rgb="FF000000"/>
        <rFont val="Noto Sans CJK SC"/>
        <family val="2"/>
      </rPr>
      <t xml:space="preserve">일이상）（간편가입）（</t>
    </r>
  </si>
  <si>
    <r>
      <rPr>
        <sz val="11"/>
        <color rgb="FF000000"/>
        <rFont val="Noto Sans CJK SC"/>
        <family val="2"/>
      </rPr>
      <t xml:space="preserve">상해입원일당（요양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정신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한방병원제외</t>
    </r>
    <r>
      <rPr>
        <sz val="11"/>
        <color rgb="FF000000"/>
        <rFont val="맑은 고딕"/>
        <family val="3"/>
        <charset val="129"/>
      </rPr>
      <t xml:space="preserve">,181 </t>
    </r>
    <r>
      <rPr>
        <sz val="11"/>
        <color rgb="FF000000"/>
        <rFont val="Noto Sans CJK SC"/>
        <family val="2"/>
      </rPr>
      <t xml:space="preserve">일이상）（간편가입）（</t>
    </r>
  </si>
  <si>
    <r>
      <rPr>
        <sz val="11"/>
        <color rgb="FF000000"/>
        <rFont val="Noto Sans CJK SC"/>
        <family val="2"/>
      </rPr>
      <t xml:space="preserve">갱신형）간■</t>
    </r>
    <r>
      <rPr>
        <sz val="11"/>
        <color rgb="FF000000"/>
        <rFont val="맑은 고딕"/>
        <family val="3"/>
        <charset val="129"/>
      </rPr>
      <t xml:space="preserve">!</t>
    </r>
    <r>
      <rPr>
        <sz val="11"/>
        <color rgb="FF000000"/>
        <rFont val="Noto Sans CJK SC"/>
        <family val="2"/>
      </rPr>
      <t xml:space="preserve">병 （긴 시■■용</t>
    </r>
  </si>
  <si>
    <r>
      <rPr>
        <sz val="11"/>
        <color rgb="FF000000"/>
        <rFont val="맑은 고딕"/>
        <family val="3"/>
        <charset val="129"/>
      </rPr>
      <t xml:space="preserve">1-180 </t>
    </r>
    <r>
      <rPr>
        <sz val="11"/>
        <color rgb="FF000000"/>
        <rFont val="Noto Sans CJK SC"/>
        <family val="2"/>
      </rPr>
      <t xml:space="preserve">일）（감액없음）（간편가입）（갱신형）간호간병통합서비스질병입원일당 （</t>
    </r>
    <r>
      <rPr>
        <sz val="11"/>
        <color rgb="FF000000"/>
        <rFont val="맑은 고딕"/>
        <family val="3"/>
        <charset val="129"/>
      </rPr>
      <t xml:space="preserve">1-180 </t>
    </r>
    <r>
      <rPr>
        <sz val="11"/>
        <color rgb="FF000000"/>
        <rFont val="Noto Sans CJK SC"/>
        <family val="2"/>
      </rPr>
      <t xml:space="preserve">일）（간편가입）（갱신형）간•</t>
    </r>
    <r>
      <rPr>
        <sz val="11"/>
        <color rgb="FF000000"/>
        <rFont val="맑은 고딕"/>
        <family val="3"/>
        <charset val="129"/>
      </rPr>
      <t xml:space="preserve">|</t>
    </r>
    <r>
      <rPr>
        <sz val="11"/>
        <color rgb="FF000000"/>
        <rFont val="Noto Sans CJK SC"/>
        <family val="2"/>
      </rPr>
      <t xml:space="preserve">병 ＜건시■■용</t>
    </r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해€원일당（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일이상）（요양병원）（간편가입）（갱신형）간병인사용 상해입원일당（요양병원</t>
    </r>
  </si>
  <si>
    <t xml:space="preserve">갱신형）</t>
  </si>
  <si>
    <t xml:space="preserve">외상성특정뇌손상 진단비</t>
  </si>
  <si>
    <t xml:space="preserve">강력범죄피해보장</t>
  </si>
  <si>
    <t xml:space="preserve">외상성특정 장기손상 진단비</t>
  </si>
  <si>
    <t xml:space="preserve">보복운전피해보장</t>
  </si>
  <si>
    <r>
      <rPr>
        <sz val="11"/>
        <color rgb="FF000000"/>
        <rFont val="Noto Sans CJK SC"/>
        <family val="2"/>
      </rPr>
      <t xml:space="preserve">치아파절진단비 （연간</t>
    </r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회한）</t>
    </r>
  </si>
  <si>
    <t xml:space="preserve">과실치사상 벌금</t>
  </si>
  <si>
    <t xml:space="preserve">급여）</t>
  </si>
  <si>
    <r>
      <rPr>
        <sz val="11"/>
        <color rgb="FF000000"/>
        <rFont val="Noto Sans CJK SC"/>
        <family val="2"/>
      </rPr>
      <t xml:space="preserve">업무상 과실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중과실치사상 벌금</t>
    </r>
  </si>
  <si>
    <t xml:space="preserve">민사소송 법를비용</t>
  </si>
  <si>
    <t xml:space="preserve">애손보</t>
  </si>
  <si>
    <r>
      <rPr>
        <sz val="11"/>
        <color rgb="FF000000"/>
        <rFont val="Noto Sans CJK SC"/>
        <family val="2"/>
      </rPr>
      <t xml:space="preserve">보험료납입면제 （상해질병</t>
    </r>
    <r>
      <rPr>
        <sz val="11"/>
        <color rgb="FF000000"/>
        <rFont val="맑은 고딕"/>
        <family val="3"/>
        <charset val="129"/>
      </rPr>
      <t xml:space="preserve">80% </t>
    </r>
    <r>
      <rPr>
        <sz val="11"/>
        <color rgb="FF000000"/>
        <rFont val="Noto Sans CJK SC"/>
        <family val="2"/>
      </rPr>
      <t xml:space="preserve">이상후유장해）</t>
    </r>
  </si>
  <si>
    <t xml:space="preserve">자동차사고성형수술비</t>
  </si>
  <si>
    <t xml:space="preserve">상샘암）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</si>
  <si>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실손 세대 판정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가입일 </t>
    </r>
    <r>
      <rPr>
        <sz val="11"/>
        <color rgb="FF000000"/>
        <rFont val="맑은 고딕"/>
        <family val="3"/>
        <charset val="129"/>
      </rPr>
      <t xml:space="preserve">vs </t>
    </r>
    <r>
      <rPr>
        <sz val="11"/>
        <color rgb="FF000000"/>
        <rFont val="Noto Sans CJK SC"/>
        <family val="2"/>
      </rPr>
      <t xml:space="preserve">상품코드 — 상품코드 우선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</si>
  <si>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가입일</t>
  </si>
  <si>
    <r>
      <rPr>
        <sz val="11"/>
        <color rgb="FF000000"/>
        <rFont val="Noto Sans CJK SC"/>
        <family val="2"/>
      </rPr>
      <t xml:space="preserve">상품코드</t>
    </r>
    <r>
      <rPr>
        <sz val="11"/>
        <color rgb="FF000000"/>
        <rFont val="맑은 고딕"/>
        <family val="3"/>
        <charset val="129"/>
      </rPr>
      <t xml:space="preserve">(YYMM)</t>
    </r>
  </si>
  <si>
    <t xml:space="preserve">판정</t>
  </si>
  <si>
    <t xml:space="preserve">1206</t>
  </si>
  <si>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세대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</si>
  <si>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심장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</si>
  <si>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</si>
  <si>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t xml:space="preserve">기재 행</t>
  </si>
  <si>
    <r>
      <rPr>
        <sz val="11"/>
        <color rgb="FF000000"/>
        <rFont val="Noto Sans CJK SC"/>
        <family val="2"/>
      </rPr>
      <t xml:space="preserve">통합양성신생물수술（연간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회）보장특약</t>
    </r>
    <r>
      <rPr>
        <sz val="11"/>
        <color rgb="FF000000"/>
        <rFont val="맑은 고딕"/>
        <family val="3"/>
        <charset val="129"/>
      </rPr>
      <t xml:space="preserve">A</t>
    </r>
    <r>
      <rPr>
        <sz val="11"/>
        <color rgb="FF000000"/>
        <rFont val="Noto Sans CJK SC"/>
        <family val="2"/>
      </rPr>
      <t xml:space="preserve">（무배당）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뇌 및 심장</t>
    </r>
  </si>
  <si>
    <r>
      <rPr>
        <sz val="11"/>
        <color rgb="FF000000"/>
        <rFont val="Noto Sans CJK SC"/>
        <family val="2"/>
      </rPr>
      <t xml:space="preserve">급성심근경색증진단비 （</t>
    </r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년갱신）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</si>
  <si>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</si>
  <si>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</si>
  <si>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r>
      <rPr>
        <sz val="11"/>
        <color rgb="FF000000"/>
        <rFont val="Noto Sans CJK SC"/>
        <family val="2"/>
      </rPr>
      <t xml:space="preserve">심</t>
    </r>
    <r>
      <rPr>
        <sz val="11"/>
        <color rgb="FF000000"/>
        <rFont val="맑은 고딕"/>
        <family val="3"/>
        <charset val="129"/>
      </rPr>
      <t xml:space="preserve">'</t>
    </r>
    <r>
      <rPr>
        <sz val="11"/>
        <color rgb="FF000000"/>
        <rFont val="Noto Sans CJK SC"/>
        <family val="2"/>
      </rPr>
      <t xml:space="preserve">성파워수술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 보장특약 </t>
    </r>
    <r>
      <rPr>
        <sz val="11"/>
        <color rgb="FF000000"/>
        <rFont val="맑은 고딕"/>
        <family val="3"/>
        <charset val="129"/>
      </rPr>
      <t xml:space="preserve">IV AT</t>
    </r>
    <r>
      <rPr>
        <sz val="11"/>
        <color rgb="FF000000"/>
        <rFont val="Noto Sans CJK SC"/>
        <family val="2"/>
      </rPr>
      <t xml:space="preserve">（무배당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무해약환급금형）</t>
    </r>
    <r>
      <rPr>
        <sz val="11"/>
        <color rgb="FF000000"/>
        <rFont val="맑은 고딕"/>
        <family val="3"/>
        <charset val="129"/>
      </rPr>
      <t xml:space="preserve">_4</t>
    </r>
    <r>
      <rPr>
        <sz val="11"/>
        <color rgb="FF000000"/>
        <rFont val="Noto Sans CJK SC"/>
        <family val="2"/>
      </rPr>
      <t xml:space="preserve">종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</si>
  <si>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·</t>
    </r>
    <r>
      <rPr>
        <sz val="11"/>
        <color rgb="FF000000"/>
        <rFont val="Noto Sans CJK SC"/>
        <family val="2"/>
      </rPr>
      <t xml:space="preserve">질병 종수술 양쪽 </t>
    </r>
    <r>
      <rPr>
        <sz val="11"/>
        <color rgb="FF000000"/>
        <rFont val="맑은 고딕"/>
        <family val="3"/>
        <charset val="129"/>
      </rPr>
      <t xml:space="preserve">4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</si>
  <si>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수술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무해약환급금형급금형심</t>
    </r>
    <r>
      <rPr>
        <sz val="11"/>
        <color rgb="FF000000"/>
        <rFont val="맑은 고딕"/>
        <family val="3"/>
        <charset val="129"/>
      </rPr>
      <t xml:space="preserve">'</t>
    </r>
    <r>
      <rPr>
        <sz val="11"/>
        <color rgb="FF000000"/>
        <rFont val="Noto Sans CJK SC"/>
        <family val="2"/>
      </rPr>
      <t xml:space="preserve">성파워수술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 보장특약 </t>
    </r>
    <r>
      <rPr>
        <sz val="11"/>
        <color rgb="FF000000"/>
        <rFont val="맑은 고딕"/>
        <family val="3"/>
        <charset val="129"/>
      </rPr>
      <t xml:space="preserve">IV AT</t>
    </r>
    <r>
      <rPr>
        <sz val="11"/>
        <color rgb="FF000000"/>
        <rFont val="Noto Sans CJK SC"/>
        <family val="2"/>
      </rPr>
      <t xml:space="preserve">（무배당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무해약환급금형）</t>
    </r>
    <r>
      <rPr>
        <sz val="11"/>
        <color rgb="FF000000"/>
        <rFont val="맑은 고딕"/>
        <family val="3"/>
        <charset val="129"/>
      </rPr>
      <t xml:space="preserve">_5</t>
    </r>
    <r>
      <rPr>
        <sz val="11"/>
        <color rgb="FF000000"/>
        <rFont val="Noto Sans CJK SC"/>
        <family val="2"/>
      </rPr>
      <t xml:space="preserve">종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</si>
  <si>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·</t>
    </r>
    <r>
      <rPr>
        <sz val="11"/>
        <color rgb="FF000000"/>
        <rFont val="Noto Sans CJK SC"/>
        <family val="2"/>
      </rPr>
      <t xml:space="preserve">질병 종수술 양쪽 </t>
    </r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</si>
  <si>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수술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무해약환급금형급금형파워수술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종）보장특약</t>
    </r>
    <r>
      <rPr>
        <sz val="11"/>
        <color rgb="FF000000"/>
        <rFont val="맑은 고딕"/>
        <family val="3"/>
        <charset val="129"/>
      </rPr>
      <t xml:space="preserve">IV AT</t>
    </r>
    <r>
      <rPr>
        <sz val="11"/>
        <color rgb="FF000000"/>
        <rFont val="Noto Sans CJK SC"/>
        <family val="2"/>
      </rPr>
      <t xml:space="preserve">（무배당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무해약환급금형）</t>
    </r>
    <r>
      <rPr>
        <sz val="11"/>
        <color rgb="FF000000"/>
        <rFont val="맑은 고딕"/>
        <family val="3"/>
        <charset val="129"/>
      </rPr>
      <t xml:space="preserve">_1 </t>
    </r>
    <r>
      <rPr>
        <sz val="11"/>
        <color rgb="FF000000"/>
        <rFont val="Noto Sans CJK SC"/>
        <family val="2"/>
      </rPr>
      <t xml:space="preserve">종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</si>
  <si>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·</t>
    </r>
    <r>
      <rPr>
        <sz val="11"/>
        <color rgb="FF000000"/>
        <rFont val="Noto Sans CJK SC"/>
        <family val="2"/>
      </rPr>
      <t xml:space="preserve">질병 종수술 양쪽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</si>
  <si>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수술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무해약환급금형파워수술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 보장특약 </t>
    </r>
    <r>
      <rPr>
        <sz val="11"/>
        <color rgb="FF000000"/>
        <rFont val="맑은 고딕"/>
        <family val="3"/>
        <charset val="129"/>
      </rPr>
      <t xml:space="preserve">IV AT</t>
    </r>
    <r>
      <rPr>
        <sz val="11"/>
        <color rgb="FF000000"/>
        <rFont val="Noto Sans CJK SC"/>
        <family val="2"/>
      </rPr>
      <t xml:space="preserve">（무배당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무해약환급금형）</t>
    </r>
    <r>
      <rPr>
        <sz val="11"/>
        <color rgb="FF000000"/>
        <rFont val="맑은 고딕"/>
        <family val="3"/>
        <charset val="129"/>
      </rPr>
      <t xml:space="preserve">_2</t>
    </r>
    <r>
      <rPr>
        <sz val="11"/>
        <color rgb="FF000000"/>
        <rFont val="Noto Sans CJK SC"/>
        <family val="2"/>
      </rPr>
      <t xml:space="preserve">종 남성 특정 전립선</t>
    </r>
  </si>
  <si>
    <r>
      <rPr>
        <sz val="11"/>
        <color rgb="FF000000"/>
        <rFont val="Noto Sans CJK SC"/>
        <family val="2"/>
      </rPr>
      <t xml:space="preserve">수술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무해약환급금형 갱신형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무배당）파워수술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 보장특약 </t>
    </r>
    <r>
      <rPr>
        <sz val="11"/>
        <color rgb="FF000000"/>
        <rFont val="맑은 고딕"/>
        <family val="3"/>
        <charset val="129"/>
      </rPr>
      <t xml:space="preserve">IV AT</t>
    </r>
    <r>
      <rPr>
        <sz val="11"/>
        <color rgb="FF000000"/>
        <rFont val="Noto Sans CJK SC"/>
        <family val="2"/>
      </rPr>
      <t xml:space="preserve">（무배당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무해약환급금형）</t>
    </r>
    <r>
      <rPr>
        <sz val="11"/>
        <color rgb="FF000000"/>
        <rFont val="맑은 고딕"/>
        <family val="3"/>
        <charset val="129"/>
      </rPr>
      <t xml:space="preserve">_3</t>
    </r>
    <r>
      <rPr>
        <sz val="11"/>
        <color rgb="FF000000"/>
        <rFont val="Noto Sans CJK SC"/>
        <family val="2"/>
      </rPr>
      <t xml:space="preserve">종</t>
    </r>
  </si>
  <si>
    <r>
      <rPr>
        <sz val="11"/>
        <color rgb="FF000000"/>
        <rFont val="Noto Sans CJK SC"/>
        <family val="2"/>
      </rPr>
      <t xml:space="preserve">수술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무해약환급금형 신형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무배당）파워수술 （</t>
    </r>
    <r>
      <rPr>
        <sz val="11"/>
        <color rgb="FF000000"/>
        <rFont val="맑은 고딕"/>
        <family val="3"/>
        <charset val="129"/>
      </rPr>
      <t xml:space="preserve">1-5 </t>
    </r>
    <r>
      <rPr>
        <sz val="11"/>
        <color rgb="FF000000"/>
        <rFont val="Noto Sans CJK SC"/>
        <family val="2"/>
      </rPr>
      <t xml:space="preserve">종） 보장특약 </t>
    </r>
    <r>
      <rPr>
        <sz val="11"/>
        <color rgb="FF000000"/>
        <rFont val="맑은 고딕"/>
        <family val="3"/>
        <charset val="129"/>
      </rPr>
      <t xml:space="preserve">IV AT</t>
    </r>
    <r>
      <rPr>
        <sz val="11"/>
        <color rgb="FF000000"/>
        <rFont val="Noto Sans CJK SC"/>
        <family val="2"/>
      </rPr>
      <t xml:space="preserve">（무배당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무해약환급금형）</t>
    </r>
    <r>
      <rPr>
        <sz val="11"/>
        <color rgb="FF000000"/>
        <rFont val="맑은 고딕"/>
        <family val="3"/>
        <charset val="129"/>
      </rPr>
      <t xml:space="preserve">_4</t>
    </r>
    <r>
      <rPr>
        <sz val="11"/>
        <color rgb="FF000000"/>
        <rFont val="Noto Sans CJK SC"/>
        <family val="2"/>
      </rPr>
      <t xml:space="preserve">종수</t>
    </r>
  </si>
  <si>
    <r>
      <rPr>
        <sz val="11"/>
        <color rgb="FF000000"/>
        <rFont val="Noto Sans CJK SC"/>
        <family val="2"/>
      </rPr>
      <t xml:space="preserve">담도및췌장암（</t>
    </r>
    <r>
      <rPr>
        <sz val="11"/>
        <color rgb="FF000000"/>
        <rFont val="맑은 고딕"/>
        <family val="3"/>
        <charset val="129"/>
      </rPr>
      <t xml:space="preserve">3.5.5</t>
    </r>
    <r>
      <rPr>
        <sz val="11"/>
        <color rgb="FF000000"/>
        <rFont val="Noto Sans CJK SC"/>
        <family val="2"/>
      </rPr>
      <t xml:space="preserve">）（해약환급금미지급형 </t>
    </r>
    <r>
      <rPr>
        <sz val="11"/>
        <color rgb="FF000000"/>
        <rFont val="맑은 고딕"/>
        <family val="3"/>
        <charset val="129"/>
      </rPr>
      <t xml:space="preserve">II</t>
    </r>
    <r>
      <rPr>
        <sz val="11"/>
        <color rgb="FF000000"/>
        <rFont val="Noto Sans CJK SC"/>
        <family val="2"/>
      </rPr>
      <t xml:space="preserve">） 미지급형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갱신형）무배당새로 담는간편 통합제자리 암경 계성 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</si>
  <si>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대골절수술비</t>
    </r>
  </si>
  <si>
    <t xml:space="preserve">중대한특정상해수술비</t>
  </si>
  <si>
    <r>
      <rPr>
        <sz val="11"/>
        <color rgb="FF000000"/>
        <rFont val="Noto Sans CJK SC"/>
        <family val="2"/>
      </rPr>
      <t xml:space="preserve">일반상해수술입원 일당（</t>
    </r>
    <r>
      <rPr>
        <sz val="11"/>
        <color rgb="FF000000"/>
        <rFont val="맑은 고딕"/>
        <family val="3"/>
        <charset val="129"/>
      </rPr>
      <t xml:space="preserve">20</t>
    </r>
    <r>
      <rPr>
        <sz val="11"/>
        <color rgb="FF000000"/>
        <rFont val="Noto Sans CJK SC"/>
        <family val="2"/>
      </rPr>
      <t xml:space="preserve">일한도）</t>
    </r>
  </si>
  <si>
    <r>
      <rPr>
        <sz val="11"/>
        <color rgb="FF000000"/>
        <rFont val="Noto Sans CJK SC"/>
        <family val="2"/>
      </rPr>
      <t xml:space="preserve">창상봉합술 치료비 </t>
    </r>
    <r>
      <rPr>
        <sz val="11"/>
        <color rgb="FF000000"/>
        <rFont val="맑은 고딕"/>
        <family val="3"/>
        <charset val="129"/>
      </rPr>
      <t xml:space="preserve">II </t>
    </r>
    <r>
      <rPr>
        <sz val="11"/>
        <color rgb="FF000000"/>
        <rFont val="Noto Sans CJK SC"/>
        <family val="2"/>
      </rPr>
      <t xml:space="preserve">（안면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경부）（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일 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급여）</t>
    </r>
  </si>
  <si>
    <r>
      <rPr>
        <sz val="11"/>
        <color rgb="FF000000"/>
        <rFont val="Noto Sans CJK SC"/>
        <family val="2"/>
      </rPr>
      <t xml:space="preserve">창상봉합술 치료비 </t>
    </r>
    <r>
      <rPr>
        <sz val="11"/>
        <color rgb="FF000000"/>
        <rFont val="맑은 고딕"/>
        <family val="3"/>
        <charset val="129"/>
      </rPr>
      <t xml:space="preserve">I </t>
    </r>
    <r>
      <rPr>
        <sz val="11"/>
        <color rgb="FF000000"/>
        <rFont val="Noto Sans CJK SC"/>
        <family val="2"/>
      </rPr>
      <t xml:space="preserve">（안면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경부）（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급여）</t>
    </r>
  </si>
  <si>
    <r>
      <rPr>
        <sz val="11"/>
        <color rgb="FF000000"/>
        <rFont val="Noto Sans CJK SC"/>
        <family val="2"/>
      </rPr>
      <t xml:space="preserve">창상봉합술 치료비 </t>
    </r>
    <r>
      <rPr>
        <sz val="11"/>
        <color rgb="FF000000"/>
        <rFont val="맑은 고딕"/>
        <family val="3"/>
        <charset val="129"/>
      </rPr>
      <t xml:space="preserve">II </t>
    </r>
    <r>
      <rPr>
        <sz val="11"/>
        <color rgb="FF000000"/>
        <rFont val="Noto Sans CJK SC"/>
        <family val="2"/>
      </rPr>
      <t xml:space="preserve">（안면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경부 외）（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일 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</t>
    </r>
  </si>
  <si>
    <r>
      <rPr>
        <sz val="11"/>
        <color rgb="FF000000"/>
        <rFont val="Noto Sans CJK SC"/>
        <family val="2"/>
      </rPr>
      <t xml:space="preserve">창상봉합술 치료비 </t>
    </r>
    <r>
      <rPr>
        <sz val="11"/>
        <color rgb="FF000000"/>
        <rFont val="맑은 고딕"/>
        <family val="3"/>
        <charset val="129"/>
      </rPr>
      <t xml:space="preserve">I </t>
    </r>
    <r>
      <rPr>
        <sz val="11"/>
        <color rgb="FF000000"/>
        <rFont val="Noto Sans CJK SC"/>
        <family val="2"/>
      </rPr>
      <t xml:space="preserve">（안면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경부 외）（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</t>
    </r>
  </si>
  <si>
    <r>
      <rPr>
        <sz val="11"/>
        <color rgb="FF000000"/>
        <rFont val="Noto Sans CJK SC"/>
        <family val="2"/>
      </rPr>
      <t xml:space="preserve">암수술비 </t>
    </r>
    <r>
      <rPr>
        <sz val="11"/>
        <color rgb="FF000000"/>
        <rFont val="맑은 고딕"/>
        <family val="3"/>
        <charset val="129"/>
      </rPr>
      <t xml:space="preserve">I </t>
    </r>
    <r>
      <rPr>
        <sz val="11"/>
        <color rgb="FF000000"/>
        <rFont val="Noto Sans CJK SC"/>
        <family val="2"/>
      </rPr>
      <t xml:space="preserve">（상피내암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경계성종양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기타피부암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갑상샘암구분）</t>
    </r>
  </si>
  <si>
    <r>
      <rPr>
        <sz val="11"/>
        <color rgb="FF000000"/>
        <rFont val="Noto Sans CJK SC"/>
        <family val="2"/>
      </rPr>
      <t xml:space="preserve">암수술비 </t>
    </r>
    <r>
      <rPr>
        <sz val="11"/>
        <color rgb="FF000000"/>
        <rFont val="맑은 고딕"/>
        <family val="3"/>
        <charset val="129"/>
      </rPr>
      <t xml:space="preserve">II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</si>
  <si>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</si>
  <si>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갑상선암및기 타피부암직접 치료보장특약 </t>
    </r>
    <r>
      <rPr>
        <sz val="11"/>
        <color rgb="FF000000"/>
        <rFont val="맑은 고딕"/>
        <family val="3"/>
        <charset val="129"/>
      </rPr>
      <t xml:space="preserve">II AT</t>
    </r>
    <r>
      <rPr>
        <sz val="11"/>
        <color rgb="FF000000"/>
        <rFont val="Noto Sans CJK SC"/>
        <family val="2"/>
      </rPr>
      <t xml:space="preserve">（무배당）</t>
    </r>
  </si>
  <si>
    <r>
      <rPr>
        <sz val="11"/>
        <color rgb="FF000000"/>
        <rFont val="Noto Sans CJK SC"/>
        <family val="2"/>
      </rPr>
      <t xml:space="preserve">유사암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갑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기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경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</si>
  <si>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프리미엄 클래스암특정 치료보장특약 </t>
    </r>
    <r>
      <rPr>
        <sz val="11"/>
        <color rgb="FF000000"/>
        <rFont val="맑은 고딕"/>
        <family val="3"/>
        <charset val="129"/>
      </rPr>
      <t xml:space="preserve">AT</t>
    </r>
    <r>
      <rPr>
        <sz val="11"/>
        <color rgb="FF000000"/>
        <rFont val="Noto Sans CJK SC"/>
        <family val="2"/>
      </rPr>
      <t xml:space="preserve">（무배당）</t>
    </r>
  </si>
  <si>
    <r>
      <rPr>
        <sz val="11"/>
        <color rgb="FF000000"/>
        <rFont val="Noto Sans CJK SC"/>
        <family val="2"/>
      </rPr>
      <t xml:space="preserve">액암（</t>
    </r>
    <r>
      <rPr>
        <sz val="11"/>
        <color rgb="FF000000"/>
        <rFont val="맑은 고딕"/>
        <family val="3"/>
        <charset val="129"/>
      </rPr>
      <t xml:space="preserve">3.5.5</t>
    </r>
    <r>
      <rPr>
        <sz val="11"/>
        <color rgb="FF000000"/>
        <rFont val="Noto Sans CJK SC"/>
        <family val="2"/>
      </rPr>
      <t xml:space="preserve">）（해약환급금미지급형 </t>
    </r>
    <r>
      <rPr>
        <sz val="11"/>
        <color rgb="FF000000"/>
        <rFont val="맑은 고딕"/>
        <family val="3"/>
        <charset val="129"/>
      </rPr>
      <t xml:space="preserve">II </t>
    </r>
    <r>
      <rPr>
        <sz val="11"/>
        <color rgb="FF000000"/>
        <rFont val="Noto Sans CJK SC"/>
        <family val="2"/>
      </rPr>
      <t xml:space="preserve">） 미지급형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갱신형）무배당새로담는간편상급종합병원통합암직접치료특약 </t>
    </r>
    <r>
      <rPr>
        <sz val="11"/>
        <color rgb="FF000000"/>
        <rFont val="맑은 고딕"/>
        <family val="3"/>
        <charset val="129"/>
      </rPr>
      <t xml:space="preserve">_</t>
    </r>
  </si>
  <si>
    <r>
      <rPr>
        <sz val="11"/>
        <color rgb="FF000000"/>
        <rFont val="Noto Sans CJK SC"/>
        <family val="2"/>
      </rPr>
      <t xml:space="preserve">암입원일당 （</t>
    </r>
    <r>
      <rPr>
        <sz val="11"/>
        <color rgb="FF000000"/>
        <rFont val="맑은 고딕"/>
        <family val="3"/>
        <charset val="129"/>
      </rPr>
      <t xml:space="preserve">4 </t>
    </r>
    <r>
      <rPr>
        <sz val="11"/>
        <color rgb="FF000000"/>
        <rFont val="Noto Sans CJK SC"/>
        <family val="2"/>
      </rPr>
      <t xml:space="preserve">일〜 </t>
    </r>
    <r>
      <rPr>
        <sz val="11"/>
        <color rgb="FF000000"/>
        <rFont val="맑은 고딕"/>
        <family val="3"/>
        <charset val="129"/>
      </rPr>
      <t xml:space="preserve">120 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상피내암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경계성종양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기타피부암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갑</t>
    </r>
  </si>
  <si>
    <r>
      <rPr>
        <sz val="11"/>
        <color rgb="FF000000"/>
        <rFont val="Noto Sans CJK SC"/>
        <family val="2"/>
      </rPr>
      <t xml:space="preserve">암진단비 （상피내암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경계성종양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기타피부암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갑상샘암）（</t>
    </r>
    <r>
      <rPr>
        <sz val="11"/>
        <color rgb="FF000000"/>
        <rFont val="맑은 고딕"/>
        <family val="3"/>
        <charset val="129"/>
      </rPr>
      <t xml:space="preserve">3 </t>
    </r>
    <r>
      <rPr>
        <sz val="11"/>
        <color rgb="FF000000"/>
        <rFont val="Noto Sans CJK SC"/>
        <family val="2"/>
      </rPr>
      <t xml:space="preserve">년갱신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</si>
</sst>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20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b val="true"/>
      <sz val="9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sz val="9"/>
      <color rgb="FF0070C0"/>
      <name val="Noto Sans CJK SC"/>
      <family val="2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u val="single"/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arch.naver.com/search.naver?query=&#49340;&#49457;&#49373;&#47749;%20&#49340;&#49457;%20The&#54140;&#49828;&#53944;&#44148;&#44053;&#48372;&#54744;&#65288;2601%20Ae%20&#54140;&#49828;&#53944;&#44148;&#44053;&#48372;&#54744;%20&#65288;%20&#50557;&#44288;%20&#48372;&#51109;&#45236;&#50857;" TargetMode="External"/><Relationship Id="rId2" Type="http://schemas.openxmlformats.org/officeDocument/2006/relationships/hyperlink" Target="https://search.naver.com/search.naver?query=&#49340;&#49457;&#49373;&#47749;%20&#49340;&#49457;%20The&#54140;&#49828;&#53944;&#44148;&#44053;&#48372;&#54744;&#65288;2601%20Ae%20&#54140;&#49828;&#53944;&#44148;&#44053;&#48372;&#54744;%20&#65288;%20&#50557;&#44288;%20&#48372;&#51109;&#45236;&#50857;" TargetMode="External"/><Relationship Id="rId3" Type="http://schemas.openxmlformats.org/officeDocument/2006/relationships/hyperlink" Target="https://search.naver.com/search.naver?query=&#49340;&#49457;&#49373;&#47749;%20&#49340;&#49457;%20The&#54140;&#49828;&#53944;&#44148;&#44053;&#48372;&#54744;&#65288;2601%20&#49900;%27&#49457;%20&#50557;&#44288;%20&#48372;&#51109;&#45236;&#50857;" TargetMode="External"/><Relationship Id="rId4" Type="http://schemas.openxmlformats.org/officeDocument/2006/relationships/hyperlink" Target="https://search.naver.com/search.naver?query=&#49340;&#49457;&#49373;&#47749;%20&#49340;&#49457;%20The&#54140;&#49828;&#53944;&#44148;&#44053;&#48372;&#54744;&#65288;2601%20&#44553;&#44552;&#54805;&#49900;%27&#49457;%20&#50557;&#44288;%20&#48372;&#51109;&#45236;&#50857;" TargetMode="External"/><Relationship Id="rId5" Type="http://schemas.openxmlformats.org/officeDocument/2006/relationships/hyperlink" Target="https://search.naver.com/search.naver?query=&#49340;&#49457;&#49373;&#47749;%20&#49340;&#49457;%20The&#54140;&#49828;&#53944;&#44148;&#44053;&#48372;&#54744;&#65288;2601%20&#50516;&#51649;&#51217;&#52824;&#47308;&#48372;&#51109;&#53945;&#50557;%20II%20&#50557;&#44288;%20&#48372;&#51109;&#45236;&#50857;" TargetMode="External"/><Relationship Id="rId6" Type="http://schemas.openxmlformats.org/officeDocument/2006/relationships/hyperlink" Target="https://search.naver.com/search.naver?query=&#49340;&#49457;&#49373;&#47749;%20&#49340;&#49457;%20The&#54140;&#49828;&#53944;&#44148;&#44053;&#48372;&#54744;&#65288;2601%20&#44552;&#54805;&#54532;&#47532;%20&#48120;%20&#50628;%20&#50516;&#51649;%20%20&#50557;&#44288;%20&#48372;&#51109;&#45236;&#50857;" TargetMode="External"/><Relationship Id="rId7" Type="http://schemas.openxmlformats.org/officeDocument/2006/relationships/hyperlink" Target="https://search.naver.com/search.naver?query=&#49340;&#49457;&#49373;&#47749;%20&#49340;&#49457;%20The&#54140;&#49828;&#53944;&#44148;&#44053;&#48372;&#54744;&#65288;2601%20&#50557;&#54872;&#44553;&#44552;&#54805;%20&#50557;&#44288;%20&#48372;&#51109;&#45236;&#50857;" TargetMode="External"/><Relationship Id="rId8" Type="http://schemas.openxmlformats.org/officeDocument/2006/relationships/hyperlink" Target="https://search.naver.com/search.naver?query=&#49340;&#49457;&#49373;&#47749;%20&#49340;&#49457;%20The&#54140;&#49828;&#53944;&#44148;&#44053;&#48372;&#54744;&#65288;2601%20&#54872;&#44553;&#44552;&#54805;%20&#50557;&#44288;%20&#48372;&#51109;&#45236;&#50857;" TargetMode="External"/><Relationship Id="rId9" Type="http://schemas.openxmlformats.org/officeDocument/2006/relationships/hyperlink" Target="https://search.naver.com/search.naver?query=&#46972;&#51060;&#45208;&#49373;&#47749;%20&#47924;&#48176;&#45817;&#49352;&#47196;&#45812;&#45716;&#44036;&#54200;%20&#44148;&#44053;&#48372;&#54744;%20&#65288;3.%20&#47924;&#48176;&#45817;&#49352;&#47196;&#45812;&#45716;&#44036;&#54200;%20&#44148;&#44053;%20&#50557;&#44288;%20&#48372;&#51109;&#45236;&#50857;" TargetMode="External"/><Relationship Id="rId10" Type="http://schemas.openxmlformats.org/officeDocument/2006/relationships/hyperlink" Target="https://search.naver.com/search.naver?query=&#46972;&#51060;&#45208;&#49373;&#47749;%20&#47924;&#48176;&#45817;&#49352;&#47196;&#45812;&#45716;&#44036;&#54200;%20&#44148;&#44053;&#48372;&#54744;%20&#65288;3.%20&#47924;&#48176;&#45817;&#49352;&#47196;&#45812;&#45716;&#44036;&#54200;&#49345;&#44553;&#51333;%20&#50557;&#44288;%20&#48372;&#51109;&#45236;&#50857;" TargetMode="External"/><Relationship Id="rId11" Type="http://schemas.openxmlformats.org/officeDocument/2006/relationships/hyperlink" Target="https://search.naver.com/search.naver?query=&#46972;&#51060;&#45208;&#49373;&#47749;%20&#47924;&#48176;&#45817;&#49352;&#47196;&#45812;&#45716;&#44036;&#54200;%20&#44148;&#44053;&#48372;&#54744;%20&#65288;3.%20&#45824;&#51109;&#50516;&#65288;3.5.5&#65289;&#65288;&#54644;%20&#50557;&#44288;%20&#48372;&#51109;&#45236;&#50857;" TargetMode="External"/><Relationship Id="rId12" Type="http://schemas.openxmlformats.org/officeDocument/2006/relationships/hyperlink" Target="https://search.naver.com/search.naver?query=&#46972;&#51060;&#45208;&#49373;&#47749;%20&#47924;&#48176;&#45817;&#49352;&#47196;&#45812;&#45716;&#44036;&#54200;%20&#44148;&#44053;&#48372;&#54744;%20&#65288;3.%20&#50948;&#50516;&#65288;3.5.5&#65289;&#65288;&#54644;&#50557;%20&#50557;&#44288;%20&#48372;&#51109;&#45236;&#50857;" TargetMode="External"/><Relationship Id="rId13" Type="http://schemas.openxmlformats.org/officeDocument/2006/relationships/hyperlink" Target="https://search.naver.com/search.naver?query=KB&#49552;&#48372;%20&#65288;&#47924;&#12299;KB%20&#44032;&#51221;&#48372;&#54744;&#44284;%20&#50728;&#44032;&#51313;&#54665;&#48373;&#54616;%20&#54868;&#51116;&#49345;&#54644;&#54980;&#50976;&#51109;&#54644;&#65288;3&#49884;%20%20&#50557;&#44288;%20&#48372;&#51109;&#45236;&#50857;" TargetMode="External"/><Relationship Id="rId14" Type="http://schemas.openxmlformats.org/officeDocument/2006/relationships/hyperlink" Target="https://search.naver.com/search.naver?query=KB&#49552;&#48372;%20&#65288;&#47924;&#12299;KB%20&#44032;&#51221;&#48372;&#54744;&#44284;%20&#50728;&#44032;&#51313;&#54665;&#48373;&#54616;%20&#51333;&#54633;&#48337;&#50896;&#49345;&#54644;&#51077;&#50896;%20&#51068;&#45817;&#65288;%20&#50557;&#44288;%20&#48372;&#51109;&#45236;&#50857;" TargetMode="External"/><Relationship Id="rId15" Type="http://schemas.openxmlformats.org/officeDocument/2006/relationships/hyperlink" Target="https://search.naver.com/search.naver?query=KB&#49552;&#48372;%20&#65288;&#47924;&#12299;KB%20&#44032;&#51221;&#48372;&#54744;&#44284;%20&#50728;&#44032;&#51313;&#54665;&#48373;&#54616;%20&#49345;&#54644;&#49324;&#44256;&#48512;&#49345;&#48372;&#51109;%20I%20&#50557;&#44288;%20&#48372;&#51109;&#45236;&#50857;" TargetMode="External"/><Relationship Id="rId16" Type="http://schemas.openxmlformats.org/officeDocument/2006/relationships/hyperlink" Target="https://search.naver.com/search.naver?query=KB&#49552;&#48372;%20&#65288;&#47924;&#12299;KB%20&#44032;&#51221;&#48372;&#54744;&#44284;%20&#50728;&#44032;&#51313;&#54665;&#48373;&#54616;%20&#51025;&#44553;&#49892;&#45236;&#50896;&#48708;%20&#65288;&#48708;&#51025;&#44553;&#65289;%20&#50557;&#44288;%20&#48372;&#51109;&#45236;&#50857;" TargetMode="External"/><Relationship Id="rId17" Type="http://schemas.openxmlformats.org/officeDocument/2006/relationships/hyperlink" Target="https://search.naver.com/search.naver?query=KB&#49552;&#48372;%20KB%203.N.5%20&#49836;&#44592;&#47196;&#50868;&#44036;&#54200;&#44148;&#44053;&#48372;%20&#51656;&#48337;&#51077;&#50896;&#51068;&#45817;&#65288;&#50836;&#50577;/&#51221;&#49888;%20&#50557;&#44288;%20&#48372;&#51109;&#45236;&#50857;" TargetMode="External"/><Relationship Id="rId18" Type="http://schemas.openxmlformats.org/officeDocument/2006/relationships/hyperlink" Target="https://search.naver.com/search.naver?query=KB&#49552;&#48372;%20KB%203.N.5%20&#49836;&#44592;&#47196;&#50868;&#44036;&#54200;&#44148;&#44053;&#48372;%20i%20&#48337;&#8364;&#50896;&#51068;&#45817;&#65288;1%20&#51068;&#51060;%20&#50557;&#44288;%20&#48372;&#51109;&#45236;&#50857;" TargetMode="External"/><Relationship Id="rId19" Type="http://schemas.openxmlformats.org/officeDocument/2006/relationships/hyperlink" Target="https://search.naver.com/search.naver?query=KB&#49552;&#48372;%20KB%203.N.5%20&#49836;&#44592;&#47196;&#50868;&#44036;&#54200;&#44148;&#44053;&#48372;%205&#54644;&#8364;&#50896;&#51068;&#45817;&#65288;&#50836;&#50577;/&#51221;&#49888;%20&#50557;&#44288;%20&#48372;&#51109;&#45236;&#50857;" TargetMode="External"/><Relationship Id="rId20" Type="http://schemas.openxmlformats.org/officeDocument/2006/relationships/hyperlink" Target="https://search.naver.com/search.naver?query=KB&#49552;&#48372;%20KB%203.N.5%20&#49836;&#44592;&#47196;&#50868;&#44036;&#54200;&#44148;&#44053;&#48372;%20i%20&#48337;&#8364;&#50896;&#51068;&#45817;&#65288;&#50836;&#50577;/&#51221;%20&#50557;&#44288;%20&#48372;&#51109;&#45236;&#50857;" TargetMode="External"/><Relationship Id="rId21" Type="http://schemas.openxmlformats.org/officeDocument/2006/relationships/hyperlink" Target="https://search.naver.com/search.naver?query=KB&#49552;&#48372;%20KB%203.N.5%20&#49836;&#44592;&#47196;&#50868;&#44036;&#54200;&#44148;&#44053;&#48372;%20&#49345;&#54644;&#51077;&#50896;&#51068;&#45817;&#65288;&#50836;&#50577;/&#51221;&#49888;%20&#50557;&#44288;%20&#48372;&#51109;&#45236;&#50857;" TargetMode="External"/><Relationship Id="rId22" Type="http://schemas.openxmlformats.org/officeDocument/2006/relationships/hyperlink" Target="https://search.naver.com/search.naver?query=KB&#49552;&#48372;%20KB%203.N.5%20&#49836;&#44592;&#47196;&#50868;&#44036;&#54200;&#44148;&#44053;&#48372;%20&#44081;&#49888;&#54805;&#65289;&#44036;&#9632;%21&#48337;%20&#65288;&#44596;%20%20&#50557;&#44288;%20&#48372;&#51109;&#45236;&#50857;" TargetMode="External"/><Relationship Id="rId23" Type="http://schemas.openxmlformats.org/officeDocument/2006/relationships/hyperlink" Target="https://search.naver.com/search.naver?query=KB&#49552;&#48372;%20KB%203.N.5%20&#49836;&#44592;&#47196;&#50868;&#44036;&#54200;&#44148;&#44053;&#48372;%201-180%20&#51068;&#65289;&#65288;&#44048;&#50529;&#50630;%20&#50557;&#44288;%20&#48372;&#51109;&#45236;&#50857;" TargetMode="External"/><Relationship Id="rId24" Type="http://schemas.openxmlformats.org/officeDocument/2006/relationships/hyperlink" Target="https://search.naver.com/search.naver?query=KB&#49552;&#48372;%20KB%203.N.5%20&#49836;&#44592;&#47196;&#50868;&#44036;&#54200;&#44148;&#44053;&#48372;%20&#44081;&#49888;&#54805;&#65289;%20&#50557;&#44288;%20&#48372;&#51109;&#45236;&#50857;" TargetMode="External"/><Relationship Id="rId25" Type="http://schemas.openxmlformats.org/officeDocument/2006/relationships/hyperlink" Target="https://search.naver.com/search.naver?query=KB&#49552;&#48372;%20KB%20&#54540;&#47084;&#49828;%20&#50868;&#51204;&#51088;&#49345;&#54644;&#48372;&#54744;&#65288;&#47924;&#48176;&#45817;%20&#50808;&#49345;&#49457;&#53945;&#51221;&#45516;&#49552;&#49345;%20&#51652;&#45800;&#48708;%20&#50557;&#44288;%20&#48372;&#51109;&#45236;&#50857;" TargetMode="External"/><Relationship Id="rId26" Type="http://schemas.openxmlformats.org/officeDocument/2006/relationships/hyperlink" Target="https://search.naver.com/search.naver?query=KB&#49552;&#48372;%20KB%20&#54540;&#47084;&#49828;%20&#50868;&#51204;&#51088;&#49345;&#54644;&#48372;&#54744;&#65288;&#47924;&#48176;&#45817;%20&#44053;&#47141;&#48276;&#51396;&#54588;&#54644;&#48372;&#51109;%20&#50557;&#44288;%20&#48372;&#51109;&#45236;&#50857;" TargetMode="External"/><Relationship Id="rId27" Type="http://schemas.openxmlformats.org/officeDocument/2006/relationships/hyperlink" Target="https://search.naver.com/search.naver?query=KB&#49552;&#48372;%20KB%20&#54540;&#47084;&#49828;%20&#50868;&#51204;&#51088;&#49345;&#54644;&#48372;&#54744;&#65288;&#47924;&#48176;&#45817;%20&#50808;&#49345;&#49457;&#53945;&#51221;%20&#51109;&#44592;&#49552;&#49345;%20&#51652;%20&#50557;&#44288;%20&#48372;&#51109;&#45236;&#50857;" TargetMode="External"/><Relationship Id="rId28" Type="http://schemas.openxmlformats.org/officeDocument/2006/relationships/hyperlink" Target="https://search.naver.com/search.naver?query=KB&#49552;&#48372;%20KB%20&#54540;&#47084;&#49828;%20&#50868;&#51204;&#51088;&#49345;&#54644;&#48372;&#54744;&#65288;&#47924;&#48176;&#45817;%20&#48372;&#48373;&#50868;&#51204;&#54588;&#54644;&#48372;&#51109;%20&#50557;&#44288;%20&#48372;&#51109;&#45236;&#50857;" TargetMode="External"/><Relationship Id="rId29" Type="http://schemas.openxmlformats.org/officeDocument/2006/relationships/hyperlink" Target="https://search.naver.com/search.naver?query=KB&#49552;&#48372;%20KB%20&#54540;&#47084;&#49828;%20&#50868;&#51204;&#51088;&#49345;&#54644;&#48372;&#54744;&#65288;&#47924;&#48176;&#45817;%20&#52824;&#50500;&#54028;&#51208;&#51652;&#45800;&#48708;%20&#65288;&#50672;&#44036;3%20&#50557;&#44288;%20&#48372;&#51109;&#45236;&#50857;" TargetMode="External"/><Relationship Id="rId30" Type="http://schemas.openxmlformats.org/officeDocument/2006/relationships/hyperlink" Target="https://search.naver.com/search.naver?query=KB&#49552;&#48372;%20KB%20&#54540;&#47084;&#49828;%20&#50868;&#51204;&#51088;&#49345;&#54644;&#48372;&#54744;&#65288;&#47924;&#48176;&#45817;%20&#44284;&#49892;&#52824;&#49324;&#49345;%20&#48268;&#44552;%20&#50557;&#44288;%20&#48372;&#51109;&#45236;&#50857;" TargetMode="External"/><Relationship Id="rId31" Type="http://schemas.openxmlformats.org/officeDocument/2006/relationships/hyperlink" Target="https://search.naver.com/search.naver?query=KB&#49552;&#48372;%20KB%20&#54540;&#47084;&#49828;%20&#50868;&#51204;&#51088;&#49345;&#54644;&#48372;&#54744;&#65288;&#47924;&#48176;&#45817;%20&#44553;&#50668;&#65289;%20&#50557;&#44288;%20&#48372;&#51109;&#45236;&#50857;" TargetMode="External"/><Relationship Id="rId32" Type="http://schemas.openxmlformats.org/officeDocument/2006/relationships/hyperlink" Target="https://search.naver.com/search.naver?query=KB&#49552;&#48372;%20KB%20&#54540;&#47084;&#49828;%20&#50868;&#51204;&#51088;&#49345;&#54644;&#48372;&#54744;&#65288;&#47924;&#48176;&#45817;%20&#50629;&#47924;&#49345;%20&#44284;&#49892;%2C&#51473;&#44284;&#49892;&#52824;&#49324;%20&#50557;&#44288;%20&#48372;&#51109;&#45236;&#50857;" TargetMode="External"/><Relationship Id="rId33" Type="http://schemas.openxmlformats.org/officeDocument/2006/relationships/hyperlink" Target="https://search.naver.com/search.naver?query=KB&#49552;&#48372;%20KB%20&#54540;&#47084;&#49828;%20&#50868;&#51204;&#51088;&#49345;&#54644;&#48372;&#54744;&#65288;&#47924;&#48176;&#45817;%20&#48124;&#49324;&#49548;&#49569;%20&#48277;&#47484;&#48708;&#50857;%20&#50557;&#44288;%20&#48372;&#51109;&#45236;&#50857;" TargetMode="External"/><Relationship Id="rId34" Type="http://schemas.openxmlformats.org/officeDocument/2006/relationships/hyperlink" Target="https://search.naver.com/search.naver?query=&#50528;&#49552;&#48372;%20&#55036;&#48128;&#47532;%20&#46972;&#51060;&#54532;&#48372;&#54744;%201206%20&#48372;&#54744;&#47308;&#45225;&#51077;&#47732;&#51228;%20&#65288;&#49345;&#54644;&#51656;%20&#50557;&#44288;%20&#48372;&#51109;&#45236;&#50857;" TargetMode="External"/><Relationship Id="rId35" Type="http://schemas.openxmlformats.org/officeDocument/2006/relationships/hyperlink" Target="https://search.naver.com/search.naver?query=&#50528;&#49552;&#48372;%20&#55036;&#48128;&#47532;%20&#46972;&#51060;&#54532;&#48372;&#54744;%201206%20&#51088;&#46041;&#52264;&#49324;&#44256;&#49457;&#54805;&#49688;&#49696;&#48708;%20&#50557;&#44288;%20&#48372;&#51109;&#45236;&#50857;" TargetMode="External"/><Relationship Id="rId36" Type="http://schemas.openxmlformats.org/officeDocument/2006/relationships/hyperlink" Target="https://search.naver.com/search.naver?query=&#50528;&#49552;&#48372;%20&#55036;&#48128;&#47532;%20&#46972;&#51060;&#54532;&#48372;&#54744;%201206%20&#49345;&#49368;&#50516;&#65289;%20&#50557;&#44288;%20&#48372;&#51109;&#45236;&#50857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9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10" min="3" style="1" width="12"/>
    <col collapsed="false" customWidth="true" hidden="false" outlineLevel="0" max="11" min="11" style="1" width="1.5"/>
    <col collapsed="false" customWidth="true" hidden="false" outlineLevel="0" max="18" min="12" style="1" width="11.4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3" t="s">
        <v>1</v>
      </c>
      <c r="E1" s="3" t="s">
        <v>2</v>
      </c>
      <c r="F1" s="4" t="s">
        <v>3</v>
      </c>
      <c r="G1" s="4" t="s">
        <v>4</v>
      </c>
      <c r="H1" s="4" t="s">
        <v>5</v>
      </c>
      <c r="I1" s="3" t="s">
        <v>6</v>
      </c>
      <c r="J1" s="5" t="s">
        <v>7</v>
      </c>
    </row>
    <row r="2" customFormat="false" ht="16.5" hidden="false" customHeight="true" outlineLevel="0" collapsed="false">
      <c r="A2" s="6" t="s">
        <v>8</v>
      </c>
      <c r="B2" s="6"/>
      <c r="C2" s="7" t="n">
        <v>41913</v>
      </c>
      <c r="D2" s="7" t="n">
        <v>66559</v>
      </c>
      <c r="E2" s="7" t="n">
        <v>46825</v>
      </c>
      <c r="F2" s="8" t="n">
        <v>10000</v>
      </c>
      <c r="G2" s="8" t="n">
        <v>47662</v>
      </c>
      <c r="H2" s="8" t="n">
        <v>30000</v>
      </c>
      <c r="I2" s="7" t="n">
        <v>148711</v>
      </c>
      <c r="J2" s="9" t="n">
        <f aca="false">SUM(C2:I2)</f>
        <v>391670</v>
      </c>
    </row>
    <row r="3" customFormat="false" ht="16.5" hidden="false" customHeight="true" outlineLevel="0" collapsed="false">
      <c r="A3" s="10" t="s">
        <v>9</v>
      </c>
      <c r="B3" s="10"/>
      <c r="C3" s="11" t="s">
        <v>10</v>
      </c>
      <c r="D3" s="11" t="s">
        <v>10</v>
      </c>
      <c r="E3" s="11" t="s">
        <v>11</v>
      </c>
      <c r="F3" s="12" t="s">
        <v>12</v>
      </c>
      <c r="G3" s="12" t="s">
        <v>13</v>
      </c>
      <c r="H3" s="12" t="s">
        <v>13</v>
      </c>
      <c r="I3" s="11" t="s">
        <v>14</v>
      </c>
      <c r="J3" s="13"/>
    </row>
    <row r="4" customFormat="false" ht="16.5" hidden="false" customHeight="true" outlineLevel="0" collapsed="false">
      <c r="A4" s="10" t="s">
        <v>15</v>
      </c>
      <c r="B4" s="10"/>
      <c r="C4" s="11" t="s">
        <v>16</v>
      </c>
      <c r="D4" s="11" t="s">
        <v>16</v>
      </c>
      <c r="E4" s="11" t="s">
        <v>17</v>
      </c>
      <c r="F4" s="12" t="s">
        <v>18</v>
      </c>
      <c r="G4" s="12" t="s">
        <v>19</v>
      </c>
      <c r="H4" s="12" t="s">
        <v>20</v>
      </c>
      <c r="I4" s="11" t="s">
        <v>21</v>
      </c>
      <c r="J4" s="13"/>
    </row>
    <row r="5" customFormat="false" ht="17.25" hidden="false" customHeight="true" outlineLevel="0" collapsed="false">
      <c r="A5" s="10" t="s">
        <v>22</v>
      </c>
      <c r="B5" s="10"/>
      <c r="C5" s="11" t="s">
        <v>23</v>
      </c>
      <c r="D5" s="11" t="s">
        <v>23</v>
      </c>
      <c r="E5" s="11" t="s">
        <v>24</v>
      </c>
      <c r="F5" s="12" t="s">
        <v>25</v>
      </c>
      <c r="G5" s="12" t="s">
        <v>26</v>
      </c>
      <c r="H5" s="12" t="s">
        <v>26</v>
      </c>
      <c r="I5" s="11" t="s">
        <v>27</v>
      </c>
      <c r="J5" s="13"/>
    </row>
    <row r="6" customFormat="false" ht="16.5" hidden="false" customHeight="true" outlineLevel="0" collapsed="false">
      <c r="A6" s="14" t="s">
        <v>28</v>
      </c>
      <c r="B6" s="15" t="s">
        <v>29</v>
      </c>
      <c r="C6" s="16"/>
      <c r="D6" s="16"/>
      <c r="E6" s="16"/>
      <c r="F6" s="16"/>
      <c r="G6" s="16"/>
      <c r="H6" s="16"/>
      <c r="I6" s="16"/>
      <c r="J6" s="17" t="n">
        <f aca="false">SUM(C6:I6)</f>
        <v>0</v>
      </c>
    </row>
    <row r="7" customFormat="false" ht="17.25" hidden="false" customHeight="true" outlineLevel="0" collapsed="false">
      <c r="A7" s="14"/>
      <c r="B7" s="18" t="s">
        <v>30</v>
      </c>
      <c r="C7" s="19"/>
      <c r="D7" s="19"/>
      <c r="E7" s="19"/>
      <c r="F7" s="19"/>
      <c r="G7" s="19"/>
      <c r="H7" s="19"/>
      <c r="I7" s="19"/>
      <c r="J7" s="20" t="n">
        <f aca="false">SUM(C7:I7)</f>
        <v>0</v>
      </c>
    </row>
    <row r="8" customFormat="false" ht="17.25" hidden="false" customHeight="true" outlineLevel="0" collapsed="false">
      <c r="A8" s="14"/>
      <c r="B8" s="21" t="s">
        <v>31</v>
      </c>
      <c r="C8" s="19"/>
      <c r="D8" s="19"/>
      <c r="E8" s="19"/>
      <c r="F8" s="19"/>
      <c r="G8" s="19"/>
      <c r="H8" s="19"/>
      <c r="I8" s="22" t="n">
        <v>1000</v>
      </c>
      <c r="J8" s="20" t="n">
        <f aca="false">SUM(C8:I8)</f>
        <v>1000</v>
      </c>
    </row>
    <row r="9" customFormat="false" ht="16.5" hidden="false" customHeight="true" outlineLevel="0" collapsed="false">
      <c r="A9" s="14"/>
      <c r="B9" s="21" t="s">
        <v>32</v>
      </c>
      <c r="C9" s="19"/>
      <c r="D9" s="19"/>
      <c r="E9" s="19"/>
      <c r="F9" s="19"/>
      <c r="G9" s="19"/>
      <c r="H9" s="19"/>
      <c r="I9" s="19"/>
      <c r="J9" s="20" t="n">
        <f aca="false">SUM(C9:I9)</f>
        <v>0</v>
      </c>
    </row>
    <row r="10" customFormat="false" ht="17.25" hidden="false" customHeight="true" outlineLevel="0" collapsed="false">
      <c r="A10" s="14"/>
      <c r="B10" s="23" t="s">
        <v>33</v>
      </c>
      <c r="C10" s="24"/>
      <c r="D10" s="24"/>
      <c r="E10" s="24"/>
      <c r="F10" s="8" t="n">
        <v>2000</v>
      </c>
      <c r="G10" s="8" t="n">
        <v>100</v>
      </c>
      <c r="H10" s="8" t="n">
        <v>3000</v>
      </c>
      <c r="I10" s="7" t="n">
        <v>9000</v>
      </c>
      <c r="J10" s="9" t="n">
        <f aca="false">SUM(C10:I10)</f>
        <v>14100</v>
      </c>
    </row>
    <row r="11" customFormat="false" ht="16.5" hidden="false" customHeight="true" outlineLevel="0" collapsed="false">
      <c r="A11" s="25" t="s">
        <v>34</v>
      </c>
      <c r="B11" s="21" t="s">
        <v>35</v>
      </c>
      <c r="C11" s="19"/>
      <c r="D11" s="19"/>
      <c r="E11" s="19"/>
      <c r="F11" s="22" t="n">
        <v>1000</v>
      </c>
      <c r="G11" s="19"/>
      <c r="H11" s="22" t="n">
        <v>3000</v>
      </c>
      <c r="I11" s="26" t="n">
        <v>3000</v>
      </c>
      <c r="J11" s="20" t="n">
        <f aca="false">SUM(C11:I11)</f>
        <v>7000</v>
      </c>
    </row>
    <row r="12" customFormat="false" ht="16.5" hidden="false" customHeight="true" outlineLevel="0" collapsed="false">
      <c r="A12" s="25"/>
      <c r="B12" s="21" t="s">
        <v>36</v>
      </c>
      <c r="C12" s="19"/>
      <c r="D12" s="19"/>
      <c r="E12" s="19"/>
      <c r="F12" s="19"/>
      <c r="G12" s="19"/>
      <c r="H12" s="19"/>
      <c r="I12" s="26" t="n">
        <v>9000</v>
      </c>
      <c r="J12" s="20" t="n">
        <f aca="false">SUM(C12:I12)</f>
        <v>9000</v>
      </c>
    </row>
    <row r="13" customFormat="false" ht="16.5" hidden="false" customHeight="true" outlineLevel="0" collapsed="false">
      <c r="A13" s="25"/>
      <c r="B13" s="21" t="s">
        <v>37</v>
      </c>
      <c r="C13" s="19"/>
      <c r="D13" s="19"/>
      <c r="E13" s="19"/>
      <c r="F13" s="19"/>
      <c r="G13" s="19"/>
      <c r="H13" s="19"/>
      <c r="I13" s="19"/>
      <c r="J13" s="20" t="n">
        <f aca="false">SUM(C13:I13)</f>
        <v>0</v>
      </c>
    </row>
    <row r="14" customFormat="false" ht="17.25" hidden="false" customHeight="true" outlineLevel="0" collapsed="false">
      <c r="A14" s="25"/>
      <c r="B14" s="23" t="s">
        <v>38</v>
      </c>
      <c r="C14" s="24"/>
      <c r="D14" s="24"/>
      <c r="E14" s="24"/>
      <c r="F14" s="24"/>
      <c r="G14" s="24"/>
      <c r="H14" s="24"/>
      <c r="I14" s="8" t="n">
        <v>1000</v>
      </c>
      <c r="J14" s="9" t="n">
        <f aca="false">SUM(C14:I14)</f>
        <v>1000</v>
      </c>
    </row>
    <row r="15" customFormat="false" ht="17.25" hidden="false" customHeight="true" outlineLevel="0" collapsed="false">
      <c r="A15" s="25" t="s">
        <v>39</v>
      </c>
      <c r="B15" s="21" t="s">
        <v>40</v>
      </c>
      <c r="C15" s="19"/>
      <c r="D15" s="19"/>
      <c r="E15" s="19"/>
      <c r="F15" s="19"/>
      <c r="G15" s="19"/>
      <c r="H15" s="19"/>
      <c r="I15" s="19"/>
      <c r="J15" s="20" t="n">
        <f aca="false">SUM(C15:I15)</f>
        <v>0</v>
      </c>
    </row>
    <row r="16" customFormat="false" ht="16.5" hidden="false" customHeight="true" outlineLevel="0" collapsed="false">
      <c r="A16" s="25"/>
      <c r="B16" s="18" t="s">
        <v>41</v>
      </c>
      <c r="C16" s="19"/>
      <c r="D16" s="19"/>
      <c r="E16" s="19"/>
      <c r="F16" s="19"/>
      <c r="G16" s="19"/>
      <c r="H16" s="19"/>
      <c r="I16" s="22" t="n">
        <v>0</v>
      </c>
      <c r="J16" s="20" t="n">
        <f aca="false">SUM(C16:I16)</f>
        <v>0</v>
      </c>
    </row>
    <row r="17" customFormat="false" ht="17.25" hidden="false" customHeight="true" outlineLevel="0" collapsed="false">
      <c r="A17" s="25"/>
      <c r="B17" s="18" t="s">
        <v>42</v>
      </c>
      <c r="C17" s="19"/>
      <c r="D17" s="19"/>
      <c r="E17" s="19"/>
      <c r="F17" s="19"/>
      <c r="G17" s="19"/>
      <c r="H17" s="19"/>
      <c r="I17" s="19"/>
      <c r="J17" s="20" t="n">
        <f aca="false">SUM(C17:I17)</f>
        <v>0</v>
      </c>
    </row>
    <row r="18" customFormat="false" ht="16.5" hidden="false" customHeight="true" outlineLevel="0" collapsed="false">
      <c r="A18" s="25"/>
      <c r="B18" s="21" t="s">
        <v>43</v>
      </c>
      <c r="C18" s="19"/>
      <c r="D18" s="26" t="n">
        <v>200</v>
      </c>
      <c r="E18" s="22" t="n">
        <v>1000</v>
      </c>
      <c r="F18" s="19"/>
      <c r="G18" s="19"/>
      <c r="H18" s="19"/>
      <c r="I18" s="19"/>
      <c r="J18" s="20" t="n">
        <f aca="false">SUM(C18:I18)</f>
        <v>1200</v>
      </c>
    </row>
    <row r="19" customFormat="false" ht="16.5" hidden="false" customHeight="true" outlineLevel="0" collapsed="false">
      <c r="A19" s="25"/>
      <c r="B19" s="21" t="s">
        <v>44</v>
      </c>
      <c r="C19" s="19"/>
      <c r="D19" s="19"/>
      <c r="E19" s="19"/>
      <c r="F19" s="19"/>
      <c r="G19" s="19"/>
      <c r="H19" s="19"/>
      <c r="I19" s="19"/>
      <c r="J19" s="20" t="n">
        <f aca="false">SUM(C19:I19)</f>
        <v>0</v>
      </c>
    </row>
    <row r="20" customFormat="false" ht="16.5" hidden="false" customHeight="true" outlineLevel="0" collapsed="false">
      <c r="A20" s="25"/>
      <c r="B20" s="21" t="s">
        <v>45</v>
      </c>
      <c r="C20" s="27"/>
      <c r="D20" s="26" t="n">
        <v>10000</v>
      </c>
      <c r="E20" s="27"/>
      <c r="F20" s="27"/>
      <c r="G20" s="27"/>
      <c r="H20" s="27"/>
      <c r="I20" s="19"/>
      <c r="J20" s="20" t="n">
        <f aca="false">SUM(C20:I20)</f>
        <v>10000</v>
      </c>
    </row>
    <row r="21" customFormat="false" ht="16.5" hidden="false" customHeight="true" outlineLevel="0" collapsed="false">
      <c r="A21" s="25"/>
      <c r="B21" s="21" t="s">
        <v>46</v>
      </c>
      <c r="C21" s="19"/>
      <c r="D21" s="19"/>
      <c r="E21" s="19"/>
      <c r="F21" s="19"/>
      <c r="G21" s="19"/>
      <c r="H21" s="19"/>
      <c r="I21" s="19"/>
      <c r="J21" s="20" t="n">
        <f aca="false">SUM(C21:I21)</f>
        <v>0</v>
      </c>
    </row>
    <row r="22" customFormat="false" ht="16.5" hidden="false" customHeight="true" outlineLevel="0" collapsed="false">
      <c r="A22" s="25"/>
      <c r="B22" s="21" t="s">
        <v>47</v>
      </c>
      <c r="C22" s="27"/>
      <c r="D22" s="26" t="n">
        <v>5000</v>
      </c>
      <c r="E22" s="22" t="n">
        <v>5000</v>
      </c>
      <c r="F22" s="27"/>
      <c r="G22" s="27"/>
      <c r="H22" s="27"/>
      <c r="I22" s="19"/>
      <c r="J22" s="20" t="n">
        <f aca="false">IF(COUNT(C22:I22)=0,0,MAX(C22:I22))</f>
        <v>5000</v>
      </c>
    </row>
    <row r="23" customFormat="false" ht="16.5" hidden="false" customHeight="true" outlineLevel="0" collapsed="false">
      <c r="A23" s="25"/>
      <c r="B23" s="21" t="s">
        <v>48</v>
      </c>
      <c r="C23" s="27"/>
      <c r="D23" s="27"/>
      <c r="E23" s="22" t="n">
        <v>3000</v>
      </c>
      <c r="F23" s="27"/>
      <c r="G23" s="27"/>
      <c r="H23" s="27"/>
      <c r="I23" s="19"/>
      <c r="J23" s="20" t="n">
        <f aca="false">SUM(C23:I23)</f>
        <v>3000</v>
      </c>
    </row>
    <row r="24" customFormat="false" ht="16.5" hidden="false" customHeight="true" outlineLevel="0" collapsed="false">
      <c r="A24" s="25"/>
      <c r="B24" s="21" t="s">
        <v>49</v>
      </c>
      <c r="C24" s="27"/>
      <c r="D24" s="27"/>
      <c r="E24" s="27"/>
      <c r="F24" s="27"/>
      <c r="G24" s="27"/>
      <c r="H24" s="27"/>
      <c r="I24" s="19"/>
      <c r="J24" s="20" t="n">
        <f aca="false">SUM(C24:I24)</f>
        <v>0</v>
      </c>
    </row>
    <row r="25" customFormat="false" ht="16.5" hidden="false" customHeight="true" outlineLevel="0" collapsed="false">
      <c r="A25" s="25"/>
      <c r="B25" s="21" t="s">
        <v>50</v>
      </c>
      <c r="C25" s="27"/>
      <c r="D25" s="27"/>
      <c r="E25" s="27"/>
      <c r="F25" s="27"/>
      <c r="G25" s="27"/>
      <c r="H25" s="27"/>
      <c r="I25" s="19"/>
      <c r="J25" s="20" t="n">
        <f aca="false">SUM(C25:I25)</f>
        <v>0</v>
      </c>
    </row>
    <row r="26" customFormat="false" ht="16.5" hidden="false" customHeight="true" outlineLevel="0" collapsed="false">
      <c r="A26" s="25"/>
      <c r="B26" s="21" t="s">
        <v>51</v>
      </c>
      <c r="C26" s="22" t="n">
        <v>400</v>
      </c>
      <c r="D26" s="27"/>
      <c r="E26" s="27"/>
      <c r="F26" s="27"/>
      <c r="G26" s="27"/>
      <c r="H26" s="27"/>
      <c r="I26" s="19"/>
      <c r="J26" s="20" t="n">
        <f aca="false">SUM(C26:I26)</f>
        <v>400</v>
      </c>
    </row>
    <row r="27" customFormat="false" ht="16.5" hidden="false" customHeight="true" outlineLevel="0" collapsed="false">
      <c r="A27" s="25"/>
      <c r="B27" s="21" t="s">
        <v>52</v>
      </c>
      <c r="C27" s="19"/>
      <c r="D27" s="19"/>
      <c r="E27" s="22" t="n">
        <v>100</v>
      </c>
      <c r="F27" s="19"/>
      <c r="G27" s="19"/>
      <c r="H27" s="19"/>
      <c r="I27" s="26" t="n">
        <v>400</v>
      </c>
      <c r="J27" s="20" t="n">
        <f aca="false">SUM(C27:I27)</f>
        <v>500</v>
      </c>
    </row>
    <row r="28" customFormat="false" ht="17.25" hidden="false" customHeight="true" outlineLevel="0" collapsed="false">
      <c r="A28" s="25"/>
      <c r="B28" s="21" t="s">
        <v>53</v>
      </c>
      <c r="C28" s="19"/>
      <c r="D28" s="19"/>
      <c r="E28" s="19"/>
      <c r="F28" s="19"/>
      <c r="G28" s="19"/>
      <c r="H28" s="19"/>
      <c r="I28" s="26" t="n">
        <v>5</v>
      </c>
      <c r="J28" s="20" t="n">
        <f aca="false">SUM(C28:I28)</f>
        <v>5</v>
      </c>
    </row>
    <row r="29" customFormat="false" ht="17.25" hidden="false" customHeight="true" outlineLevel="0" collapsed="false">
      <c r="A29" s="25"/>
      <c r="B29" s="23" t="s">
        <v>54</v>
      </c>
      <c r="C29" s="24"/>
      <c r="D29" s="7" t="n">
        <v>5000</v>
      </c>
      <c r="E29" s="7" t="n">
        <v>1000</v>
      </c>
      <c r="F29" s="24"/>
      <c r="G29" s="24"/>
      <c r="H29" s="24"/>
      <c r="I29" s="7" t="n">
        <v>100</v>
      </c>
      <c r="J29" s="9" t="n">
        <f aca="false">SUM(C29:I29)</f>
        <v>6100</v>
      </c>
    </row>
    <row r="30" customFormat="false" ht="16.5" hidden="false" customHeight="true" outlineLevel="0" collapsed="false">
      <c r="A30" s="25" t="s">
        <v>55</v>
      </c>
      <c r="B30" s="21" t="s">
        <v>56</v>
      </c>
      <c r="C30" s="19"/>
      <c r="D30" s="19"/>
      <c r="E30" s="19"/>
      <c r="F30" s="19"/>
      <c r="G30" s="19"/>
      <c r="H30" s="19"/>
      <c r="I30" s="19"/>
      <c r="J30" s="20" t="n">
        <f aca="false">SUM(C30:I30)</f>
        <v>0</v>
      </c>
    </row>
    <row r="31" customFormat="false" ht="17.25" hidden="false" customHeight="true" outlineLevel="0" collapsed="false">
      <c r="A31" s="25"/>
      <c r="B31" s="18" t="s">
        <v>57</v>
      </c>
      <c r="C31" s="19"/>
      <c r="D31" s="19"/>
      <c r="E31" s="19"/>
      <c r="F31" s="19"/>
      <c r="G31" s="19"/>
      <c r="H31" s="19"/>
      <c r="I31" s="22" t="n">
        <v>1000</v>
      </c>
      <c r="J31" s="20" t="n">
        <f aca="false">SUM(C31:I31)</f>
        <v>1000</v>
      </c>
    </row>
    <row r="32" customFormat="false" ht="16.5" hidden="false" customHeight="true" outlineLevel="0" collapsed="false">
      <c r="A32" s="25"/>
      <c r="B32" s="18" t="s">
        <v>58</v>
      </c>
      <c r="C32" s="19"/>
      <c r="D32" s="19"/>
      <c r="E32" s="19"/>
      <c r="F32" s="19"/>
      <c r="G32" s="19"/>
      <c r="H32" s="19"/>
      <c r="I32" s="19"/>
      <c r="J32" s="20" t="n">
        <f aca="false">SUM(C32:I32)</f>
        <v>0</v>
      </c>
    </row>
    <row r="33" customFormat="false" ht="16.5" hidden="false" customHeight="true" outlineLevel="0" collapsed="false">
      <c r="A33" s="25"/>
      <c r="B33" s="21" t="s">
        <v>59</v>
      </c>
      <c r="C33" s="19"/>
      <c r="D33" s="19"/>
      <c r="E33" s="19"/>
      <c r="F33" s="19"/>
      <c r="G33" s="19"/>
      <c r="H33" s="19"/>
      <c r="I33" s="19"/>
      <c r="J33" s="20" t="n">
        <f aca="false">SUM(C33:I33)</f>
        <v>0</v>
      </c>
    </row>
    <row r="34" customFormat="false" ht="16.5" hidden="false" customHeight="true" outlineLevel="0" collapsed="false">
      <c r="A34" s="25"/>
      <c r="B34" s="21" t="s">
        <v>60</v>
      </c>
      <c r="C34" s="19"/>
      <c r="D34" s="19"/>
      <c r="E34" s="19"/>
      <c r="F34" s="19"/>
      <c r="G34" s="19"/>
      <c r="H34" s="22" t="n">
        <v>100</v>
      </c>
      <c r="I34" s="19"/>
      <c r="J34" s="20" t="n">
        <f aca="false">SUM(C34:I34)</f>
        <v>100</v>
      </c>
    </row>
    <row r="35" customFormat="false" ht="16.5" hidden="false" customHeight="true" outlineLevel="0" collapsed="false">
      <c r="A35" s="25"/>
      <c r="B35" s="21" t="s">
        <v>61</v>
      </c>
      <c r="C35" s="19"/>
      <c r="D35" s="19"/>
      <c r="E35" s="19"/>
      <c r="F35" s="19"/>
      <c r="G35" s="19"/>
      <c r="H35" s="19"/>
      <c r="I35" s="19"/>
      <c r="J35" s="20" t="n">
        <f aca="false">SUM(C35:I35)</f>
        <v>0</v>
      </c>
    </row>
    <row r="36" customFormat="false" ht="16.5" hidden="false" customHeight="true" outlineLevel="0" collapsed="false">
      <c r="A36" s="25"/>
      <c r="B36" s="21" t="s">
        <v>62</v>
      </c>
      <c r="C36" s="19"/>
      <c r="D36" s="19"/>
      <c r="E36" s="19"/>
      <c r="F36" s="19"/>
      <c r="G36" s="19"/>
      <c r="H36" s="19"/>
      <c r="I36" s="19"/>
      <c r="J36" s="20" t="n">
        <f aca="false">SUM(C36:I36)</f>
        <v>0</v>
      </c>
    </row>
    <row r="37" customFormat="false" ht="16.5" hidden="false" customHeight="true" outlineLevel="0" collapsed="false">
      <c r="A37" s="25"/>
      <c r="B37" s="23" t="s">
        <v>63</v>
      </c>
      <c r="C37" s="24"/>
      <c r="D37" s="24"/>
      <c r="E37" s="24"/>
      <c r="F37" s="24"/>
      <c r="G37" s="24"/>
      <c r="H37" s="24"/>
      <c r="I37" s="24"/>
      <c r="J37" s="9" t="n">
        <f aca="false">SUM(C37:I37)</f>
        <v>0</v>
      </c>
    </row>
    <row r="38" customFormat="false" ht="16.5" hidden="false" customHeight="true" outlineLevel="0" collapsed="false">
      <c r="A38" s="25" t="s">
        <v>64</v>
      </c>
      <c r="B38" s="21" t="s">
        <v>65</v>
      </c>
      <c r="C38" s="19"/>
      <c r="D38" s="19"/>
      <c r="E38" s="19"/>
      <c r="F38" s="19"/>
      <c r="G38" s="19"/>
      <c r="H38" s="19"/>
      <c r="I38" s="19"/>
      <c r="J38" s="20" t="n">
        <f aca="false">SUM(C38:I38)</f>
        <v>0</v>
      </c>
    </row>
    <row r="39" customFormat="false" ht="16.5" hidden="false" customHeight="true" outlineLevel="0" collapsed="false">
      <c r="A39" s="25"/>
      <c r="B39" s="21" t="s">
        <v>66</v>
      </c>
      <c r="C39" s="19"/>
      <c r="D39" s="19"/>
      <c r="E39" s="19"/>
      <c r="F39" s="19"/>
      <c r="G39" s="19"/>
      <c r="H39" s="19"/>
      <c r="I39" s="19"/>
      <c r="J39" s="20" t="n">
        <f aca="false">SUM(C39:I39)</f>
        <v>0</v>
      </c>
    </row>
    <row r="40" customFormat="false" ht="16.5" hidden="false" customHeight="true" outlineLevel="0" collapsed="false">
      <c r="A40" s="25"/>
      <c r="B40" s="21" t="s">
        <v>67</v>
      </c>
      <c r="C40" s="19"/>
      <c r="D40" s="19"/>
      <c r="E40" s="19"/>
      <c r="F40" s="19"/>
      <c r="G40" s="19"/>
      <c r="H40" s="19"/>
      <c r="I40" s="19"/>
      <c r="J40" s="20" t="n">
        <f aca="false">SUM(C40:I40)</f>
        <v>0</v>
      </c>
    </row>
    <row r="41" customFormat="false" ht="17.25" hidden="false" customHeight="true" outlineLevel="0" collapsed="false">
      <c r="A41" s="25"/>
      <c r="B41" s="21" t="s">
        <v>68</v>
      </c>
      <c r="C41" s="19"/>
      <c r="D41" s="19"/>
      <c r="E41" s="19"/>
      <c r="F41" s="19"/>
      <c r="G41" s="19"/>
      <c r="H41" s="19"/>
      <c r="I41" s="19"/>
      <c r="J41" s="20" t="n">
        <f aca="false">SUM(C41:I41)</f>
        <v>0</v>
      </c>
    </row>
    <row r="42" customFormat="false" ht="16.5" hidden="false" customHeight="true" outlineLevel="0" collapsed="false">
      <c r="A42" s="25"/>
      <c r="B42" s="21" t="s">
        <v>69</v>
      </c>
      <c r="C42" s="19"/>
      <c r="D42" s="19"/>
      <c r="E42" s="19"/>
      <c r="F42" s="19"/>
      <c r="G42" s="19"/>
      <c r="H42" s="19"/>
      <c r="I42" s="19"/>
      <c r="J42" s="20" t="n">
        <f aca="false">SUM(C42:I42)</f>
        <v>0</v>
      </c>
    </row>
    <row r="43" customFormat="false" ht="16.5" hidden="false" customHeight="true" outlineLevel="0" collapsed="false">
      <c r="A43" s="25"/>
      <c r="B43" s="21" t="s">
        <v>70</v>
      </c>
      <c r="C43" s="28"/>
      <c r="D43" s="28"/>
      <c r="E43" s="28"/>
      <c r="F43" s="28"/>
      <c r="G43" s="28"/>
      <c r="H43" s="28"/>
      <c r="I43" s="28"/>
      <c r="J43" s="29" t="n">
        <f aca="false">SUM(C43:I43)</f>
        <v>0</v>
      </c>
    </row>
    <row r="44" customFormat="false" ht="17.25" hidden="false" customHeight="true" outlineLevel="0" collapsed="false">
      <c r="A44" s="25"/>
      <c r="B44" s="21" t="s">
        <v>71</v>
      </c>
      <c r="C44" s="28"/>
      <c r="D44" s="28"/>
      <c r="E44" s="28"/>
      <c r="F44" s="28"/>
      <c r="G44" s="28"/>
      <c r="H44" s="28"/>
      <c r="I44" s="28"/>
      <c r="J44" s="29" t="n">
        <f aca="false">SUM(C44:I44)</f>
        <v>0</v>
      </c>
    </row>
    <row r="45" customFormat="false" ht="17.25" hidden="false" customHeight="true" outlineLevel="0" collapsed="false">
      <c r="A45" s="25"/>
      <c r="B45" s="21" t="s">
        <v>72</v>
      </c>
      <c r="C45" s="19"/>
      <c r="D45" s="19"/>
      <c r="E45" s="19"/>
      <c r="F45" s="19"/>
      <c r="G45" s="19"/>
      <c r="H45" s="19"/>
      <c r="I45" s="19"/>
      <c r="J45" s="20" t="n">
        <f aca="false">SUM(C45:I45)</f>
        <v>0</v>
      </c>
    </row>
    <row r="46" customFormat="false" ht="16.5" hidden="false" customHeight="true" outlineLevel="0" collapsed="false">
      <c r="A46" s="25"/>
      <c r="B46" s="30" t="s">
        <v>73</v>
      </c>
      <c r="C46" s="19"/>
      <c r="D46" s="19"/>
      <c r="E46" s="19"/>
      <c r="F46" s="19"/>
      <c r="G46" s="19"/>
      <c r="H46" s="19"/>
      <c r="I46" s="19"/>
      <c r="J46" s="20" t="n">
        <f aca="false">SUM(C46:I46)</f>
        <v>0</v>
      </c>
    </row>
    <row r="47" customFormat="false" ht="16.5" hidden="false" customHeight="true" outlineLevel="0" collapsed="false">
      <c r="A47" s="25"/>
      <c r="B47" s="31" t="s">
        <v>74</v>
      </c>
      <c r="C47" s="19"/>
      <c r="D47" s="19"/>
      <c r="E47" s="19"/>
      <c r="F47" s="19"/>
      <c r="G47" s="19"/>
      <c r="H47" s="19"/>
      <c r="I47" s="19"/>
      <c r="J47" s="20" t="n">
        <f aca="false">SUM(C47:I47)</f>
        <v>0</v>
      </c>
    </row>
    <row r="48" customFormat="false" ht="16.5" hidden="false" customHeight="true" outlineLevel="0" collapsed="false">
      <c r="A48" s="25"/>
      <c r="B48" s="18" t="s">
        <v>75</v>
      </c>
      <c r="C48" s="19"/>
      <c r="D48" s="19"/>
      <c r="E48" s="19"/>
      <c r="F48" s="19"/>
      <c r="G48" s="19"/>
      <c r="H48" s="19"/>
      <c r="I48" s="22" t="n">
        <v>1000</v>
      </c>
      <c r="J48" s="20" t="n">
        <f aca="false">SUM(C48:I48)</f>
        <v>1000</v>
      </c>
    </row>
    <row r="49" customFormat="false" ht="16.5" hidden="false" customHeight="true" outlineLevel="0" collapsed="false">
      <c r="A49" s="25"/>
      <c r="B49" s="32" t="s">
        <v>76</v>
      </c>
      <c r="C49" s="24"/>
      <c r="D49" s="24"/>
      <c r="E49" s="24"/>
      <c r="F49" s="24"/>
      <c r="G49" s="24"/>
      <c r="H49" s="24"/>
      <c r="I49" s="24"/>
      <c r="J49" s="9" t="n">
        <f aca="false">SUM(C49:I49)</f>
        <v>0</v>
      </c>
    </row>
    <row r="50" customFormat="false" ht="16.5" hidden="false" customHeight="true" outlineLevel="0" collapsed="false">
      <c r="A50" s="25" t="s">
        <v>77</v>
      </c>
      <c r="B50" s="21" t="s">
        <v>63</v>
      </c>
      <c r="C50" s="19"/>
      <c r="D50" s="19"/>
      <c r="E50" s="19"/>
      <c r="F50" s="19"/>
      <c r="G50" s="19"/>
      <c r="H50" s="19"/>
      <c r="I50" s="19"/>
      <c r="J50" s="20" t="n">
        <f aca="false">SUM(C50:I50)</f>
        <v>0</v>
      </c>
    </row>
    <row r="51" customFormat="false" ht="16.5" hidden="false" customHeight="true" outlineLevel="0" collapsed="false">
      <c r="A51" s="25"/>
      <c r="B51" s="21" t="s">
        <v>78</v>
      </c>
      <c r="C51" s="19"/>
      <c r="D51" s="19"/>
      <c r="E51" s="19"/>
      <c r="F51" s="19"/>
      <c r="G51" s="19"/>
      <c r="H51" s="19"/>
      <c r="I51" s="22" t="n">
        <v>1</v>
      </c>
      <c r="J51" s="20" t="n">
        <f aca="false">SUM(C51:I51)</f>
        <v>1</v>
      </c>
    </row>
    <row r="52" customFormat="false" ht="16.5" hidden="false" customHeight="true" outlineLevel="0" collapsed="false">
      <c r="A52" s="25"/>
      <c r="B52" s="21" t="s">
        <v>79</v>
      </c>
      <c r="C52" s="19"/>
      <c r="D52" s="19"/>
      <c r="E52" s="19"/>
      <c r="F52" s="19"/>
      <c r="G52" s="19"/>
      <c r="H52" s="19"/>
      <c r="I52" s="19"/>
      <c r="J52" s="20" t="n">
        <f aca="false">SUM(C52:I52)</f>
        <v>0</v>
      </c>
    </row>
    <row r="53" customFormat="false" ht="16.5" hidden="false" customHeight="true" outlineLevel="0" collapsed="false">
      <c r="A53" s="25"/>
      <c r="B53" s="21" t="s">
        <v>80</v>
      </c>
      <c r="C53" s="19"/>
      <c r="D53" s="19"/>
      <c r="E53" s="19"/>
      <c r="F53" s="19"/>
      <c r="G53" s="19"/>
      <c r="H53" s="19"/>
      <c r="I53" s="19"/>
      <c r="J53" s="20" t="n">
        <f aca="false">SUM(C53:I53)</f>
        <v>0</v>
      </c>
    </row>
    <row r="54" customFormat="false" ht="16.5" hidden="false" customHeight="true" outlineLevel="0" collapsed="false">
      <c r="A54" s="25"/>
      <c r="B54" s="21" t="s">
        <v>81</v>
      </c>
      <c r="C54" s="19"/>
      <c r="D54" s="19"/>
      <c r="E54" s="19"/>
      <c r="F54" s="19"/>
      <c r="G54" s="19"/>
      <c r="H54" s="19"/>
      <c r="I54" s="26" t="n">
        <v>2</v>
      </c>
      <c r="J54" s="20" t="n">
        <f aca="false">SUM(C54:I54)</f>
        <v>2</v>
      </c>
    </row>
    <row r="55" customFormat="false" ht="16.5" hidden="false" customHeight="true" outlineLevel="0" collapsed="false">
      <c r="A55" s="25"/>
      <c r="B55" s="21" t="s">
        <v>82</v>
      </c>
      <c r="C55" s="19"/>
      <c r="D55" s="19"/>
      <c r="E55" s="19"/>
      <c r="F55" s="22" t="n">
        <v>3</v>
      </c>
      <c r="G55" s="19"/>
      <c r="H55" s="19"/>
      <c r="I55" s="19"/>
      <c r="J55" s="20" t="n">
        <f aca="false">SUM(C55:I55)</f>
        <v>3</v>
      </c>
    </row>
    <row r="56" customFormat="false" ht="16.5" hidden="false" customHeight="true" outlineLevel="0" collapsed="false">
      <c r="A56" s="25"/>
      <c r="B56" s="21" t="s">
        <v>83</v>
      </c>
      <c r="C56" s="19"/>
      <c r="D56" s="19"/>
      <c r="E56" s="19"/>
      <c r="F56" s="19"/>
      <c r="G56" s="22" t="n">
        <v>20</v>
      </c>
      <c r="H56" s="19"/>
      <c r="I56" s="19"/>
      <c r="J56" s="20" t="n">
        <f aca="false">IF(COUNT(C56:I56)=0,0,MAX(C56:I56))</f>
        <v>20</v>
      </c>
    </row>
    <row r="57" customFormat="false" ht="16.5" hidden="false" customHeight="true" outlineLevel="0" collapsed="false">
      <c r="A57" s="25"/>
      <c r="B57" s="21" t="s">
        <v>84</v>
      </c>
      <c r="C57" s="19"/>
      <c r="D57" s="19"/>
      <c r="E57" s="19"/>
      <c r="F57" s="19"/>
      <c r="G57" s="19"/>
      <c r="H57" s="19"/>
      <c r="I57" s="19"/>
      <c r="J57" s="20" t="n">
        <f aca="false">SUM(C57:I57)</f>
        <v>0</v>
      </c>
    </row>
    <row r="58" customFormat="false" ht="16.5" hidden="false" customHeight="true" outlineLevel="0" collapsed="false">
      <c r="A58" s="25"/>
      <c r="B58" s="21" t="s">
        <v>85</v>
      </c>
      <c r="C58" s="19"/>
      <c r="D58" s="19"/>
      <c r="E58" s="19"/>
      <c r="F58" s="19"/>
      <c r="G58" s="22" t="n">
        <v>7</v>
      </c>
      <c r="H58" s="19"/>
      <c r="I58" s="19"/>
      <c r="J58" s="20" t="n">
        <f aca="false">IF(SUM(C58:I58)&gt;0,7,0)</f>
        <v>7</v>
      </c>
    </row>
    <row r="59" customFormat="false" ht="16.5" hidden="false" customHeight="true" outlineLevel="0" collapsed="false">
      <c r="A59" s="25"/>
      <c r="B59" s="30" t="s">
        <v>86</v>
      </c>
      <c r="C59" s="19"/>
      <c r="D59" s="19"/>
      <c r="E59" s="19"/>
      <c r="F59" s="19"/>
      <c r="G59" s="19"/>
      <c r="H59" s="19"/>
      <c r="I59" s="19"/>
      <c r="J59" s="20" t="n">
        <f aca="false">SUM(C59:I59)</f>
        <v>0</v>
      </c>
    </row>
    <row r="60" customFormat="false" ht="16.5" hidden="false" customHeight="true" outlineLevel="0" collapsed="false">
      <c r="A60" s="25"/>
      <c r="B60" s="30" t="s">
        <v>87</v>
      </c>
      <c r="C60" s="19"/>
      <c r="D60" s="19"/>
      <c r="E60" s="19"/>
      <c r="F60" s="19"/>
      <c r="G60" s="19"/>
      <c r="H60" s="19"/>
      <c r="I60" s="19"/>
      <c r="J60" s="20" t="n">
        <f aca="false">SUM(C60:I60)</f>
        <v>0</v>
      </c>
    </row>
    <row r="61" customFormat="false" ht="16.5" hidden="false" customHeight="true" outlineLevel="0" collapsed="false">
      <c r="A61" s="25"/>
      <c r="B61" s="21" t="s">
        <v>88</v>
      </c>
      <c r="C61" s="19"/>
      <c r="D61" s="19"/>
      <c r="E61" s="19"/>
      <c r="F61" s="19"/>
      <c r="G61" s="19"/>
      <c r="H61" s="19"/>
      <c r="I61" s="19"/>
      <c r="J61" s="20" t="n">
        <f aca="false">SUM(C61:I61)</f>
        <v>0</v>
      </c>
    </row>
    <row r="62" customFormat="false" ht="17.25" hidden="false" customHeight="true" outlineLevel="0" collapsed="false">
      <c r="A62" s="25"/>
      <c r="B62" s="23" t="s">
        <v>89</v>
      </c>
      <c r="C62" s="24"/>
      <c r="D62" s="24"/>
      <c r="E62" s="24"/>
      <c r="F62" s="8" t="n">
        <v>10</v>
      </c>
      <c r="G62" s="24"/>
      <c r="H62" s="24"/>
      <c r="I62" s="24"/>
      <c r="J62" s="9" t="n">
        <f aca="false">SUM(C62:I62)</f>
        <v>10</v>
      </c>
    </row>
    <row r="63" customFormat="false" ht="17.25" hidden="false" customHeight="true" outlineLevel="0" collapsed="false">
      <c r="A63" s="25" t="s">
        <v>90</v>
      </c>
      <c r="B63" s="21" t="s">
        <v>91</v>
      </c>
      <c r="C63" s="19"/>
      <c r="D63" s="19"/>
      <c r="E63" s="19"/>
      <c r="F63" s="22" t="n">
        <v>50</v>
      </c>
      <c r="G63" s="19"/>
      <c r="H63" s="22" t="n">
        <v>50</v>
      </c>
      <c r="I63" s="19"/>
      <c r="J63" s="20" t="n">
        <f aca="false">SUM(C63:I63)</f>
        <v>100</v>
      </c>
    </row>
    <row r="64" customFormat="false" ht="16.5" hidden="false" customHeight="true" outlineLevel="0" collapsed="false">
      <c r="A64" s="25"/>
      <c r="B64" s="21" t="s">
        <v>92</v>
      </c>
      <c r="C64" s="19"/>
      <c r="D64" s="19"/>
      <c r="E64" s="19"/>
      <c r="F64" s="22" t="n">
        <v>2000</v>
      </c>
      <c r="G64" s="19"/>
      <c r="H64" s="19"/>
      <c r="I64" s="19"/>
      <c r="J64" s="20" t="n">
        <f aca="false">SUM(C64:I64)</f>
        <v>2000</v>
      </c>
    </row>
    <row r="65" customFormat="false" ht="16.5" hidden="false" customHeight="true" outlineLevel="0" collapsed="false">
      <c r="A65" s="25"/>
      <c r="B65" s="21" t="s">
        <v>93</v>
      </c>
      <c r="C65" s="33" t="s">
        <v>94</v>
      </c>
      <c r="D65" s="19"/>
      <c r="E65" s="19"/>
      <c r="F65" s="27"/>
      <c r="G65" s="19"/>
      <c r="H65" s="19"/>
      <c r="I65" s="19"/>
      <c r="J65" s="34" t="s">
        <v>94</v>
      </c>
    </row>
    <row r="66" customFormat="false" ht="16.5" hidden="false" customHeight="true" outlineLevel="0" collapsed="false">
      <c r="A66" s="25"/>
      <c r="B66" s="21" t="s">
        <v>95</v>
      </c>
      <c r="C66" s="19"/>
      <c r="D66" s="19"/>
      <c r="E66" s="19"/>
      <c r="F66" s="27"/>
      <c r="G66" s="19"/>
      <c r="H66" s="19"/>
      <c r="I66" s="19"/>
      <c r="J66" s="20" t="n">
        <f aca="false">SUM(C66:I66)</f>
        <v>0</v>
      </c>
    </row>
    <row r="67" customFormat="false" ht="16.5" hidden="false" customHeight="true" outlineLevel="0" collapsed="false">
      <c r="A67" s="25"/>
      <c r="B67" s="21" t="s">
        <v>96</v>
      </c>
      <c r="C67" s="19"/>
      <c r="D67" s="19"/>
      <c r="E67" s="19"/>
      <c r="F67" s="19"/>
      <c r="G67" s="19"/>
      <c r="H67" s="22" t="n">
        <v>100</v>
      </c>
      <c r="I67" s="19"/>
      <c r="J67" s="20" t="n">
        <f aca="false">SUM(C67:I67)</f>
        <v>100</v>
      </c>
    </row>
    <row r="68" customFormat="false" ht="17.25" hidden="false" customHeight="true" outlineLevel="0" collapsed="false">
      <c r="A68" s="25"/>
      <c r="B68" s="21" t="s">
        <v>97</v>
      </c>
      <c r="C68" s="19"/>
      <c r="D68" s="19"/>
      <c r="E68" s="19"/>
      <c r="F68" s="22" t="n">
        <v>10</v>
      </c>
      <c r="G68" s="19"/>
      <c r="H68" s="19"/>
      <c r="I68" s="19"/>
      <c r="J68" s="20" t="n">
        <f aca="false">SUM(C68:I68)</f>
        <v>10</v>
      </c>
    </row>
    <row r="69" customFormat="false" ht="16.5" hidden="false" customHeight="true" outlineLevel="0" collapsed="false">
      <c r="A69" s="25"/>
      <c r="B69" s="30" t="s">
        <v>98</v>
      </c>
      <c r="C69" s="19"/>
      <c r="D69" s="19"/>
      <c r="E69" s="19"/>
      <c r="F69" s="22" t="n">
        <v>10</v>
      </c>
      <c r="G69" s="19"/>
      <c r="H69" s="22" t="n">
        <v>30</v>
      </c>
      <c r="I69" s="19"/>
      <c r="J69" s="20" t="n">
        <f aca="false">SUM(C69:I69)</f>
        <v>40</v>
      </c>
    </row>
    <row r="70" customFormat="false" ht="16.5" hidden="false" customHeight="true" outlineLevel="0" collapsed="false">
      <c r="A70" s="25"/>
      <c r="B70" s="21" t="s">
        <v>99</v>
      </c>
      <c r="C70" s="19"/>
      <c r="D70" s="19"/>
      <c r="E70" s="19"/>
      <c r="F70" s="19"/>
      <c r="G70" s="19"/>
      <c r="H70" s="19"/>
      <c r="I70" s="19"/>
      <c r="J70" s="20" t="n">
        <f aca="false">SUM(C70:I70)</f>
        <v>0</v>
      </c>
    </row>
    <row r="71" customFormat="false" ht="16.5" hidden="false" customHeight="true" outlineLevel="0" collapsed="false">
      <c r="A71" s="25"/>
      <c r="B71" s="35" t="s">
        <v>100</v>
      </c>
      <c r="C71" s="16"/>
      <c r="D71" s="16"/>
      <c r="E71" s="16"/>
      <c r="F71" s="16"/>
      <c r="G71" s="16"/>
      <c r="H71" s="16"/>
      <c r="I71" s="36"/>
      <c r="J71" s="17" t="n">
        <f aca="false">SUM(C71:I71)</f>
        <v>0</v>
      </c>
    </row>
    <row r="72" customFormat="false" ht="16.5" hidden="false" customHeight="true" outlineLevel="0" collapsed="false">
      <c r="A72" s="25"/>
      <c r="B72" s="21" t="s">
        <v>101</v>
      </c>
      <c r="C72" s="33" t="s">
        <v>94</v>
      </c>
      <c r="D72" s="19"/>
      <c r="E72" s="19"/>
      <c r="F72" s="27"/>
      <c r="G72" s="19"/>
      <c r="H72" s="19"/>
      <c r="I72" s="19"/>
      <c r="J72" s="34" t="s">
        <v>94</v>
      </c>
    </row>
    <row r="73" customFormat="false" ht="16.5" hidden="false" customHeight="true" outlineLevel="0" collapsed="false">
      <c r="A73" s="25"/>
      <c r="B73" s="21" t="s">
        <v>102</v>
      </c>
      <c r="C73" s="19"/>
      <c r="D73" s="19"/>
      <c r="E73" s="19"/>
      <c r="F73" s="27"/>
      <c r="G73" s="19"/>
      <c r="H73" s="19"/>
      <c r="I73" s="19"/>
      <c r="J73" s="20" t="n">
        <f aca="false">SUM(C73:I73)</f>
        <v>0</v>
      </c>
    </row>
    <row r="74" customFormat="false" ht="16.5" hidden="false" customHeight="true" outlineLevel="0" collapsed="false">
      <c r="A74" s="25"/>
      <c r="B74" s="21" t="s">
        <v>103</v>
      </c>
      <c r="C74" s="19"/>
      <c r="D74" s="19"/>
      <c r="E74" s="19"/>
      <c r="F74" s="19"/>
      <c r="G74" s="19"/>
      <c r="H74" s="19"/>
      <c r="I74" s="19"/>
      <c r="J74" s="20" t="n">
        <f aca="false">SUM(C74:I74)</f>
        <v>0</v>
      </c>
    </row>
    <row r="75" customFormat="false" ht="16.5" hidden="false" customHeight="true" outlineLevel="0" collapsed="false">
      <c r="A75" s="25"/>
      <c r="B75" s="21" t="s">
        <v>104</v>
      </c>
      <c r="C75" s="19"/>
      <c r="D75" s="19"/>
      <c r="E75" s="19"/>
      <c r="F75" s="19"/>
      <c r="G75" s="19"/>
      <c r="H75" s="19"/>
      <c r="I75" s="19"/>
      <c r="J75" s="20" t="n">
        <f aca="false">SUM(C75:I75)</f>
        <v>0</v>
      </c>
    </row>
    <row r="76" customFormat="false" ht="17.25" hidden="false" customHeight="true" outlineLevel="0" collapsed="false">
      <c r="A76" s="25"/>
      <c r="B76" s="21" t="s">
        <v>105</v>
      </c>
      <c r="C76" s="26"/>
      <c r="D76" s="19"/>
      <c r="E76" s="19"/>
      <c r="F76" s="19"/>
      <c r="G76" s="19"/>
      <c r="H76" s="19"/>
      <c r="I76" s="19"/>
      <c r="J76" s="20" t="n">
        <f aca="false">SUM(C76:I76)</f>
        <v>0</v>
      </c>
    </row>
    <row r="77" customFormat="false" ht="16.5" hidden="false" customHeight="true" outlineLevel="0" collapsed="false">
      <c r="A77" s="25"/>
      <c r="B77" s="30" t="s">
        <v>106</v>
      </c>
      <c r="C77" s="19"/>
      <c r="D77" s="19"/>
      <c r="E77" s="19"/>
      <c r="F77" s="19"/>
      <c r="G77" s="19"/>
      <c r="H77" s="19"/>
      <c r="I77" s="19"/>
      <c r="J77" s="20" t="n">
        <f aca="false">SUM(C77:I77)</f>
        <v>0</v>
      </c>
    </row>
    <row r="78" customFormat="false" ht="16.5" hidden="false" customHeight="true" outlineLevel="0" collapsed="false">
      <c r="A78" s="25"/>
      <c r="B78" s="30" t="s">
        <v>107</v>
      </c>
      <c r="C78" s="19"/>
      <c r="D78" s="19"/>
      <c r="E78" s="19"/>
      <c r="F78" s="19"/>
      <c r="G78" s="19"/>
      <c r="H78" s="19"/>
      <c r="I78" s="19"/>
      <c r="J78" s="20" t="n">
        <f aca="false">SUM(C78:I78)</f>
        <v>0</v>
      </c>
    </row>
    <row r="79" customFormat="false" ht="17.25" hidden="false" customHeight="true" outlineLevel="0" collapsed="false">
      <c r="A79" s="25"/>
      <c r="B79" s="37" t="s">
        <v>108</v>
      </c>
      <c r="C79" s="24"/>
      <c r="D79" s="24"/>
      <c r="E79" s="24"/>
      <c r="F79" s="24"/>
      <c r="G79" s="24"/>
      <c r="H79" s="24"/>
      <c r="I79" s="24"/>
      <c r="J79" s="9" t="n">
        <f aca="false">SUM(C79:I79)</f>
        <v>0</v>
      </c>
    </row>
    <row r="80" customFormat="false" ht="17.25" hidden="false" customHeight="true" outlineLevel="0" collapsed="false">
      <c r="A80" s="25" t="s">
        <v>109</v>
      </c>
      <c r="B80" s="21" t="s">
        <v>110</v>
      </c>
      <c r="C80" s="19"/>
      <c r="D80" s="19"/>
      <c r="E80" s="19"/>
      <c r="F80" s="19"/>
      <c r="G80" s="19"/>
      <c r="H80" s="22" t="n">
        <v>3000</v>
      </c>
      <c r="I80" s="19"/>
      <c r="J80" s="20" t="n">
        <f aca="false">SUM(C80:I80)</f>
        <v>3000</v>
      </c>
    </row>
    <row r="81" customFormat="false" ht="17.25" hidden="false" customHeight="true" outlineLevel="0" collapsed="false">
      <c r="A81" s="25"/>
      <c r="B81" s="21" t="s">
        <v>111</v>
      </c>
      <c r="C81" s="19"/>
      <c r="D81" s="19"/>
      <c r="E81" s="19"/>
      <c r="F81" s="19"/>
      <c r="G81" s="19"/>
      <c r="H81" s="22" t="n">
        <v>500</v>
      </c>
      <c r="I81" s="19"/>
      <c r="J81" s="20" t="n">
        <f aca="false">SUM(C81:I81)</f>
        <v>500</v>
      </c>
    </row>
    <row r="82" customFormat="false" ht="16.5" hidden="false" customHeight="true" outlineLevel="0" collapsed="false">
      <c r="A82" s="25"/>
      <c r="B82" s="21" t="s">
        <v>112</v>
      </c>
      <c r="C82" s="19"/>
      <c r="D82" s="19"/>
      <c r="E82" s="19"/>
      <c r="F82" s="19"/>
      <c r="G82" s="19"/>
      <c r="H82" s="22" t="n">
        <v>20000</v>
      </c>
      <c r="I82" s="19"/>
      <c r="J82" s="20" t="n">
        <f aca="false">SUM(C82:I82)</f>
        <v>20000</v>
      </c>
    </row>
    <row r="83" customFormat="false" ht="17.25" hidden="false" customHeight="true" outlineLevel="0" collapsed="false">
      <c r="A83" s="25"/>
      <c r="B83" s="30" t="s">
        <v>113</v>
      </c>
      <c r="C83" s="19"/>
      <c r="D83" s="19"/>
      <c r="E83" s="19"/>
      <c r="F83" s="19"/>
      <c r="G83" s="19"/>
      <c r="H83" s="22" t="n">
        <v>1000</v>
      </c>
      <c r="I83" s="19"/>
      <c r="J83" s="20" t="n">
        <f aca="false">SUM(C83:I83)</f>
        <v>1000</v>
      </c>
    </row>
    <row r="84" customFormat="false" ht="16.5" hidden="false" customHeight="true" outlineLevel="0" collapsed="false">
      <c r="A84" s="25"/>
      <c r="B84" s="21" t="s">
        <v>114</v>
      </c>
      <c r="C84" s="19"/>
      <c r="D84" s="19"/>
      <c r="E84" s="19"/>
      <c r="F84" s="19"/>
      <c r="G84" s="19"/>
      <c r="H84" s="22" t="n">
        <v>5000</v>
      </c>
      <c r="I84" s="19"/>
      <c r="J84" s="20" t="n">
        <f aca="false">SUM(C84:I84)</f>
        <v>5000</v>
      </c>
    </row>
    <row r="85" customFormat="false" ht="17.25" hidden="false" customHeight="true" outlineLevel="0" collapsed="false">
      <c r="A85" s="25"/>
      <c r="B85" s="23" t="s">
        <v>115</v>
      </c>
      <c r="C85" s="24"/>
      <c r="D85" s="24"/>
      <c r="E85" s="24"/>
      <c r="F85" s="24"/>
      <c r="G85" s="24"/>
      <c r="H85" s="8" t="n">
        <v>30</v>
      </c>
      <c r="I85" s="24"/>
      <c r="J85" s="9" t="n">
        <f aca="false">MIN(SUM(C85:I85),80)</f>
        <v>30</v>
      </c>
    </row>
    <row r="86" customFormat="false" ht="16.5" hidden="false" customHeight="true" outlineLevel="0" collapsed="false">
      <c r="A86" s="25" t="s">
        <v>116</v>
      </c>
      <c r="B86" s="21" t="s">
        <v>117</v>
      </c>
      <c r="C86" s="19"/>
      <c r="D86" s="19"/>
      <c r="E86" s="19"/>
      <c r="F86" s="22"/>
      <c r="G86" s="19"/>
      <c r="H86" s="19"/>
      <c r="I86" s="19"/>
      <c r="J86" s="20" t="n">
        <f aca="false">SUM(C86:I86)</f>
        <v>0</v>
      </c>
    </row>
    <row r="87" customFormat="false" ht="16.5" hidden="false" customHeight="true" outlineLevel="0" collapsed="false">
      <c r="A87" s="25"/>
      <c r="B87" s="21" t="s">
        <v>118</v>
      </c>
      <c r="C87" s="19"/>
      <c r="D87" s="19"/>
      <c r="E87" s="19"/>
      <c r="F87" s="19" t="n">
        <v>10</v>
      </c>
      <c r="G87" s="19"/>
      <c r="H87" s="22" t="n">
        <v>50</v>
      </c>
      <c r="I87" s="26" t="n">
        <v>10</v>
      </c>
      <c r="J87" s="20" t="n">
        <f aca="false">SUM(C87:I87)</f>
        <v>70</v>
      </c>
    </row>
    <row r="88" customFormat="false" ht="17.25" hidden="false" customHeight="true" outlineLevel="0" collapsed="false">
      <c r="A88" s="25"/>
      <c r="B88" s="37" t="s">
        <v>119</v>
      </c>
      <c r="C88" s="24"/>
      <c r="D88" s="24"/>
      <c r="E88" s="24"/>
      <c r="F88" s="8" t="n">
        <v>10</v>
      </c>
      <c r="G88" s="24"/>
      <c r="H88" s="8" t="n">
        <v>30</v>
      </c>
      <c r="I88" s="24"/>
      <c r="J88" s="9" t="n">
        <f aca="false">SUM(C88:I88)</f>
        <v>40</v>
      </c>
    </row>
    <row r="89" customFormat="false" ht="17.25" hidden="false" customHeight="true" outlineLevel="0" collapsed="false">
      <c r="A89" s="38" t="s">
        <v>120</v>
      </c>
      <c r="B89" s="23" t="s">
        <v>121</v>
      </c>
      <c r="C89" s="24"/>
      <c r="D89" s="24"/>
      <c r="E89" s="24"/>
      <c r="F89" s="8" t="n">
        <v>1</v>
      </c>
      <c r="G89" s="24"/>
      <c r="H89" s="24"/>
      <c r="I89" s="24"/>
      <c r="J89" s="9" t="n">
        <f aca="false">SUM(C89:I89)</f>
        <v>1</v>
      </c>
    </row>
    <row r="90" customFormat="false" ht="17.25" hidden="false" customHeight="false" outlineLevel="0" collapsed="false">
      <c r="A90" s="38" t="s">
        <v>122</v>
      </c>
      <c r="B90" s="23" t="s">
        <v>122</v>
      </c>
      <c r="C90" s="24"/>
      <c r="D90" s="24"/>
      <c r="E90" s="24"/>
      <c r="F90" s="24"/>
      <c r="G90" s="24"/>
      <c r="H90" s="24"/>
      <c r="I90" s="24"/>
      <c r="J90" s="9" t="n">
        <f aca="false">SUM(C90:I90)</f>
        <v>0</v>
      </c>
    </row>
    <row r="91" customFormat="false" ht="17.25" hidden="false" customHeight="false" outlineLevel="0" collapsed="false">
      <c r="A91" s="25" t="s">
        <v>123</v>
      </c>
      <c r="B91" s="21" t="s">
        <v>124</v>
      </c>
      <c r="C91" s="19"/>
      <c r="D91" s="19"/>
      <c r="E91" s="19"/>
      <c r="F91" s="19"/>
      <c r="G91" s="19"/>
      <c r="H91" s="22" t="n">
        <v>10</v>
      </c>
      <c r="I91" s="26" t="n">
        <v>10</v>
      </c>
      <c r="J91" s="20" t="n">
        <f aca="false">SUM(C91:I91)</f>
        <v>20</v>
      </c>
    </row>
    <row r="92" customFormat="false" ht="17.25" hidden="false" customHeight="false" outlineLevel="0" collapsed="false">
      <c r="A92" s="25"/>
      <c r="B92" s="23" t="s">
        <v>125</v>
      </c>
      <c r="C92" s="24"/>
      <c r="D92" s="24"/>
      <c r="E92" s="24"/>
      <c r="F92" s="24"/>
      <c r="G92" s="24"/>
      <c r="H92" s="24"/>
      <c r="I92" s="7" t="n">
        <v>1000</v>
      </c>
      <c r="J92" s="9" t="n">
        <f aca="false">SUM(C92:I92)</f>
        <v>1000</v>
      </c>
    </row>
    <row r="93" customFormat="false" ht="17.25" hidden="false" customHeight="false" outlineLevel="0" collapsed="false">
      <c r="A93" s="25" t="s">
        <v>126</v>
      </c>
      <c r="B93" s="21" t="s">
        <v>127</v>
      </c>
      <c r="C93" s="19"/>
      <c r="D93" s="19"/>
      <c r="E93" s="19"/>
      <c r="F93" s="19"/>
      <c r="G93" s="19"/>
      <c r="H93" s="22" t="n">
        <v>10</v>
      </c>
      <c r="I93" s="19"/>
      <c r="J93" s="20" t="n">
        <f aca="false">SUM(C93:I93)</f>
        <v>10</v>
      </c>
    </row>
    <row r="94" customFormat="false" ht="17.25" hidden="false" customHeight="false" outlineLevel="0" collapsed="false">
      <c r="A94" s="25"/>
      <c r="B94" s="23" t="s">
        <v>128</v>
      </c>
      <c r="C94" s="24"/>
      <c r="D94" s="24"/>
      <c r="E94" s="24"/>
      <c r="F94" s="8" t="n">
        <v>20</v>
      </c>
      <c r="G94" s="24"/>
      <c r="H94" s="24"/>
      <c r="I94" s="7" t="n">
        <v>5</v>
      </c>
      <c r="J94" s="9" t="n">
        <f aca="false">SUM(C94:I94)</f>
        <v>25</v>
      </c>
    </row>
    <row r="95" customFormat="false" ht="17.25" hidden="false" customHeight="false" outlineLevel="0" collapsed="false">
      <c r="A95" s="25" t="s">
        <v>129</v>
      </c>
      <c r="B95" s="21" t="s">
        <v>130</v>
      </c>
      <c r="C95" s="27"/>
      <c r="D95" s="27"/>
      <c r="E95" s="27"/>
      <c r="F95" s="27"/>
      <c r="G95" s="27"/>
      <c r="H95" s="27"/>
      <c r="I95" s="22" t="n">
        <v>5000</v>
      </c>
      <c r="J95" s="20" t="n">
        <f aca="false">MIN(SUM(C95:I95),5000)</f>
        <v>5000</v>
      </c>
    </row>
    <row r="96" customFormat="false" ht="17.25" hidden="false" customHeight="false" outlineLevel="0" collapsed="false">
      <c r="A96" s="25"/>
      <c r="B96" s="21" t="s">
        <v>131</v>
      </c>
      <c r="C96" s="27"/>
      <c r="D96" s="27"/>
      <c r="E96" s="27"/>
      <c r="F96" s="27"/>
      <c r="G96" s="27"/>
      <c r="H96" s="27"/>
      <c r="I96" s="22" t="n">
        <v>25</v>
      </c>
      <c r="J96" s="20" t="n">
        <f aca="false">SUM(C96:I96)</f>
        <v>25</v>
      </c>
    </row>
    <row r="97" customFormat="false" ht="17.25" hidden="false" customHeight="false" outlineLevel="0" collapsed="false">
      <c r="A97" s="25"/>
      <c r="B97" s="21" t="s">
        <v>132</v>
      </c>
      <c r="C97" s="19"/>
      <c r="D97" s="19"/>
      <c r="E97" s="19"/>
      <c r="F97" s="19"/>
      <c r="G97" s="19"/>
      <c r="H97" s="19"/>
      <c r="I97" s="22" t="n">
        <v>5</v>
      </c>
      <c r="J97" s="20" t="n">
        <f aca="false">SUM(C97:I97)</f>
        <v>5</v>
      </c>
    </row>
    <row r="98" customFormat="false" ht="17.25" hidden="false" customHeight="false" outlineLevel="0" collapsed="false">
      <c r="A98" s="25"/>
      <c r="B98" s="23" t="s">
        <v>133</v>
      </c>
      <c r="C98" s="24"/>
      <c r="D98" s="24"/>
      <c r="E98" s="24"/>
      <c r="F98" s="24"/>
      <c r="G98" s="24"/>
      <c r="H98" s="24"/>
      <c r="I98" s="39"/>
      <c r="J98" s="9" t="n">
        <f aca="false">SUM(C98:I98)</f>
        <v>0</v>
      </c>
    </row>
    <row r="99" customFormat="false" ht="17.25" hidden="false" customHeight="false" outlineLevel="0" collapsed="false">
      <c r="A99" s="38" t="s">
        <v>134</v>
      </c>
      <c r="B99" s="23" t="s">
        <v>135</v>
      </c>
      <c r="C99" s="39"/>
      <c r="D99" s="39"/>
      <c r="E99" s="39"/>
      <c r="F99" s="39"/>
      <c r="G99" s="39"/>
      <c r="H99" s="8" t="n">
        <v>10000</v>
      </c>
      <c r="I99" s="39"/>
      <c r="J99" s="9" t="n">
        <f aca="false">SUM(C99:I99)</f>
        <v>10000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7"/>
    <mergeCell ref="A38:A49"/>
    <mergeCell ref="A50:A62"/>
    <mergeCell ref="A63:A79"/>
    <mergeCell ref="A80:A85"/>
    <mergeCell ref="A86:A88"/>
    <mergeCell ref="A91:A92"/>
    <mergeCell ref="A93:A94"/>
    <mergeCell ref="A95:A9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40" t="s">
        <v>136</v>
      </c>
    </row>
    <row r="3" customFormat="false" ht="16.5" hidden="false" customHeight="true" outlineLevel="0" collapsed="false">
      <c r="A3" s="41" t="s">
        <v>137</v>
      </c>
      <c r="B3" s="42" t="s">
        <v>138</v>
      </c>
    </row>
    <row r="4" customFormat="false" ht="16.5" hidden="false" customHeight="true" outlineLevel="0" collapsed="false">
      <c r="A4" s="41" t="s">
        <v>139</v>
      </c>
      <c r="B4" s="42" t="s">
        <v>140</v>
      </c>
    </row>
    <row r="5" customFormat="false" ht="16.5" hidden="false" customHeight="true" outlineLevel="0" collapsed="false">
      <c r="A5" s="41" t="s">
        <v>141</v>
      </c>
      <c r="B5" s="42" t="s">
        <v>142</v>
      </c>
    </row>
    <row r="6" customFormat="false" ht="16.5" hidden="false" customHeight="true" outlineLevel="0" collapsed="false">
      <c r="A6" s="41" t="s">
        <v>143</v>
      </c>
      <c r="B6" s="42" t="s">
        <v>144</v>
      </c>
    </row>
    <row r="7" customFormat="false" ht="16.5" hidden="false" customHeight="true" outlineLevel="0" collapsed="false">
      <c r="A7" s="41" t="s">
        <v>145</v>
      </c>
      <c r="B7" s="42" t="s">
        <v>146</v>
      </c>
    </row>
    <row r="8" customFormat="false" ht="16.5" hidden="false" customHeight="true" outlineLevel="0" collapsed="false">
      <c r="A8" s="41" t="s">
        <v>147</v>
      </c>
      <c r="B8" s="43" t="s">
        <v>148</v>
      </c>
    </row>
    <row r="9" customFormat="false" ht="16.5" hidden="false" customHeight="true" outlineLevel="0" collapsed="false">
      <c r="A9" s="41" t="s">
        <v>149</v>
      </c>
      <c r="B9" s="42" t="s">
        <v>150</v>
      </c>
    </row>
    <row r="10" customFormat="false" ht="16.5" hidden="false" customHeight="true" outlineLevel="0" collapsed="false">
      <c r="A10" s="41" t="s">
        <v>151</v>
      </c>
      <c r="B10" s="42" t="s">
        <v>152</v>
      </c>
    </row>
    <row r="11" customFormat="false" ht="16.5" hidden="false" customHeight="true" outlineLevel="0" collapsed="false">
      <c r="A11" s="41" t="s">
        <v>153</v>
      </c>
      <c r="B11" s="42" t="s">
        <v>154</v>
      </c>
    </row>
    <row r="12" customFormat="false" ht="16.5" hidden="false" customHeight="true" outlineLevel="0" collapsed="false">
      <c r="A12" s="41" t="s">
        <v>155</v>
      </c>
      <c r="B12" s="43" t="s">
        <v>156</v>
      </c>
    </row>
    <row r="13" customFormat="false" ht="16.5" hidden="false" customHeight="true" outlineLevel="0" collapsed="false">
      <c r="A13" s="41" t="s">
        <v>157</v>
      </c>
      <c r="B13" s="42" t="s">
        <v>158</v>
      </c>
    </row>
    <row r="14" customFormat="false" ht="16.5" hidden="false" customHeight="true" outlineLevel="0" collapsed="false">
      <c r="A14" s="41" t="s">
        <v>159</v>
      </c>
      <c r="B14" s="4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44" t="s">
        <v>161</v>
      </c>
    </row>
    <row r="3" customFormat="false" ht="15" hidden="false" customHeight="false" outlineLevel="0" collapsed="false">
      <c r="A3" s="44" t="s">
        <v>162</v>
      </c>
      <c r="B3" s="41" t="n">
        <v>7</v>
      </c>
    </row>
    <row r="4" customFormat="false" ht="17.15" hidden="false" customHeight="false" outlineLevel="0" collapsed="false">
      <c r="A4" s="44" t="s">
        <v>163</v>
      </c>
      <c r="B4" s="41" t="s">
        <v>164</v>
      </c>
    </row>
    <row r="6" customFormat="false" ht="17.15" hidden="false" customHeight="false" outlineLevel="0" collapsed="false">
      <c r="A6" s="41" t="s">
        <v>165</v>
      </c>
    </row>
    <row r="7" customFormat="false" ht="17.15" hidden="false" customHeight="false" outlineLevel="0" collapsed="false">
      <c r="A7" s="44" t="s">
        <v>166</v>
      </c>
      <c r="B7" s="44" t="s">
        <v>167</v>
      </c>
      <c r="C7" s="44" t="s">
        <v>168</v>
      </c>
      <c r="D7" s="44" t="s">
        <v>169</v>
      </c>
      <c r="E7" s="44" t="s">
        <v>170</v>
      </c>
    </row>
    <row r="8" customFormat="false" ht="17.15" hidden="false" customHeight="false" outlineLevel="0" collapsed="false">
      <c r="A8" s="44" t="s">
        <v>171</v>
      </c>
      <c r="B8" s="41" t="s">
        <v>172</v>
      </c>
      <c r="C8" s="41" t="n">
        <v>200</v>
      </c>
      <c r="D8" s="41"/>
      <c r="E8" s="45" t="s">
        <v>173</v>
      </c>
    </row>
    <row r="9" customFormat="false" ht="17.15" hidden="false" customHeight="false" outlineLevel="0" collapsed="false">
      <c r="A9" s="44" t="s">
        <v>171</v>
      </c>
      <c r="B9" s="41" t="s">
        <v>172</v>
      </c>
      <c r="C9" s="41" t="n">
        <v>200</v>
      </c>
      <c r="D9" s="41"/>
      <c r="E9" s="45" t="s">
        <v>173</v>
      </c>
    </row>
    <row r="10" customFormat="false" ht="17.15" hidden="false" customHeight="false" outlineLevel="0" collapsed="false">
      <c r="A10" s="44" t="s">
        <v>171</v>
      </c>
      <c r="B10" s="44" t="s">
        <v>174</v>
      </c>
      <c r="C10" s="41" t="n">
        <v>250</v>
      </c>
      <c r="D10" s="41"/>
      <c r="E10" s="45" t="s">
        <v>173</v>
      </c>
    </row>
    <row r="11" customFormat="false" ht="17.15" hidden="false" customHeight="false" outlineLevel="0" collapsed="false">
      <c r="A11" s="44" t="s">
        <v>171</v>
      </c>
      <c r="B11" s="44" t="s">
        <v>175</v>
      </c>
      <c r="C11" s="41" t="n">
        <v>100</v>
      </c>
      <c r="D11" s="41"/>
      <c r="E11" s="45" t="s">
        <v>173</v>
      </c>
    </row>
    <row r="12" customFormat="false" ht="17.15" hidden="false" customHeight="false" outlineLevel="0" collapsed="false">
      <c r="A12" s="44" t="s">
        <v>171</v>
      </c>
      <c r="B12" s="44" t="s">
        <v>176</v>
      </c>
      <c r="C12" s="41" t="n">
        <v>5000</v>
      </c>
      <c r="D12" s="41"/>
      <c r="E12" s="45" t="s">
        <v>173</v>
      </c>
    </row>
    <row r="13" customFormat="false" ht="17.15" hidden="false" customHeight="false" outlineLevel="0" collapsed="false">
      <c r="A13" s="44" t="s">
        <v>171</v>
      </c>
      <c r="B13" s="44" t="s">
        <v>177</v>
      </c>
      <c r="C13" s="41" t="n">
        <v>0</v>
      </c>
      <c r="D13" s="41"/>
      <c r="E13" s="45" t="s">
        <v>173</v>
      </c>
    </row>
    <row r="14" customFormat="false" ht="17.15" hidden="false" customHeight="false" outlineLevel="0" collapsed="false">
      <c r="A14" s="44" t="s">
        <v>171</v>
      </c>
      <c r="B14" s="44" t="s">
        <v>178</v>
      </c>
      <c r="C14" s="41" t="n">
        <v>0</v>
      </c>
      <c r="D14" s="41"/>
      <c r="E14" s="45" t="s">
        <v>173</v>
      </c>
    </row>
    <row r="15" customFormat="false" ht="17.15" hidden="false" customHeight="false" outlineLevel="0" collapsed="false">
      <c r="A15" s="44" t="s">
        <v>171</v>
      </c>
      <c r="B15" s="44" t="s">
        <v>179</v>
      </c>
      <c r="C15" s="41" t="n">
        <v>0</v>
      </c>
      <c r="D15" s="41"/>
      <c r="E15" s="45" t="s">
        <v>173</v>
      </c>
    </row>
    <row r="16" customFormat="false" ht="17.15" hidden="false" customHeight="false" outlineLevel="0" collapsed="false">
      <c r="A16" s="44" t="s">
        <v>180</v>
      </c>
      <c r="B16" s="44" t="s">
        <v>181</v>
      </c>
      <c r="C16" s="41" t="n">
        <v>100</v>
      </c>
      <c r="D16" s="41"/>
      <c r="E16" s="45" t="s">
        <v>173</v>
      </c>
    </row>
    <row r="17" customFormat="false" ht="17.15" hidden="false" customHeight="false" outlineLevel="0" collapsed="false">
      <c r="A17" s="44" t="s">
        <v>180</v>
      </c>
      <c r="B17" s="44" t="s">
        <v>182</v>
      </c>
      <c r="C17" s="41" t="n">
        <v>100</v>
      </c>
      <c r="D17" s="41"/>
      <c r="E17" s="45" t="s">
        <v>173</v>
      </c>
    </row>
    <row r="18" customFormat="false" ht="17.15" hidden="false" customHeight="false" outlineLevel="0" collapsed="false">
      <c r="A18" s="44" t="s">
        <v>180</v>
      </c>
      <c r="B18" s="44" t="s">
        <v>183</v>
      </c>
      <c r="C18" s="41" t="n">
        <v>100</v>
      </c>
      <c r="D18" s="41"/>
      <c r="E18" s="45" t="s">
        <v>173</v>
      </c>
    </row>
    <row r="19" customFormat="false" ht="17.15" hidden="false" customHeight="false" outlineLevel="0" collapsed="false">
      <c r="A19" s="44" t="s">
        <v>180</v>
      </c>
      <c r="B19" s="44" t="s">
        <v>184</v>
      </c>
      <c r="C19" s="41" t="n">
        <v>1000</v>
      </c>
      <c r="D19" s="41"/>
      <c r="E19" s="45" t="s">
        <v>173</v>
      </c>
    </row>
    <row r="20" customFormat="false" ht="17.15" hidden="false" customHeight="false" outlineLevel="0" collapsed="false">
      <c r="A20" s="41" t="s">
        <v>185</v>
      </c>
      <c r="B20" s="44" t="s">
        <v>186</v>
      </c>
      <c r="C20" s="41" t="n">
        <v>2000</v>
      </c>
      <c r="D20" s="41"/>
      <c r="E20" s="45" t="s">
        <v>173</v>
      </c>
    </row>
    <row r="21" customFormat="false" ht="17.15" hidden="false" customHeight="false" outlineLevel="0" collapsed="false">
      <c r="A21" s="41" t="s">
        <v>185</v>
      </c>
      <c r="B21" s="44" t="s">
        <v>187</v>
      </c>
      <c r="C21" s="41" t="n">
        <v>3</v>
      </c>
      <c r="D21" s="41"/>
      <c r="E21" s="45" t="s">
        <v>173</v>
      </c>
    </row>
    <row r="22" customFormat="false" ht="17.15" hidden="false" customHeight="false" outlineLevel="0" collapsed="false">
      <c r="A22" s="41" t="s">
        <v>185</v>
      </c>
      <c r="B22" s="44" t="s">
        <v>188</v>
      </c>
      <c r="C22" s="41" t="n">
        <v>100</v>
      </c>
      <c r="D22" s="41"/>
      <c r="E22" s="45" t="s">
        <v>173</v>
      </c>
    </row>
    <row r="23" customFormat="false" ht="17.15" hidden="false" customHeight="false" outlineLevel="0" collapsed="false">
      <c r="A23" s="41" t="s">
        <v>185</v>
      </c>
      <c r="B23" s="44" t="s">
        <v>189</v>
      </c>
      <c r="C23" s="41" t="n">
        <v>1</v>
      </c>
      <c r="D23" s="41"/>
      <c r="E23" s="45" t="s">
        <v>173</v>
      </c>
    </row>
    <row r="24" customFormat="false" ht="17.15" hidden="false" customHeight="false" outlineLevel="0" collapsed="false">
      <c r="A24" s="41" t="s">
        <v>185</v>
      </c>
      <c r="B24" s="44" t="s">
        <v>190</v>
      </c>
      <c r="C24" s="41" t="n">
        <v>7</v>
      </c>
      <c r="D24" s="41"/>
      <c r="E24" s="45" t="s">
        <v>173</v>
      </c>
    </row>
    <row r="25" customFormat="false" ht="17.15" hidden="false" customHeight="false" outlineLevel="0" collapsed="false">
      <c r="A25" s="41" t="s">
        <v>185</v>
      </c>
      <c r="B25" s="41" t="s">
        <v>191</v>
      </c>
      <c r="C25" s="41" t="n">
        <v>10</v>
      </c>
      <c r="D25" s="41"/>
      <c r="E25" s="45" t="s">
        <v>173</v>
      </c>
    </row>
    <row r="26" customFormat="false" ht="17.15" hidden="false" customHeight="false" outlineLevel="0" collapsed="false">
      <c r="A26" s="41" t="s">
        <v>185</v>
      </c>
      <c r="B26" s="41" t="s">
        <v>192</v>
      </c>
      <c r="C26" s="41" t="n">
        <v>15</v>
      </c>
      <c r="D26" s="41"/>
      <c r="E26" s="45" t="s">
        <v>173</v>
      </c>
    </row>
    <row r="27" customFormat="false" ht="17.15" hidden="false" customHeight="false" outlineLevel="0" collapsed="false">
      <c r="A27" s="41" t="s">
        <v>185</v>
      </c>
      <c r="B27" s="41" t="s">
        <v>193</v>
      </c>
      <c r="C27" s="41" t="n">
        <v>15</v>
      </c>
      <c r="D27" s="41"/>
      <c r="E27" s="45" t="s">
        <v>173</v>
      </c>
    </row>
    <row r="28" customFormat="false" ht="17.15" hidden="false" customHeight="false" outlineLevel="0" collapsed="false">
      <c r="A28" s="41" t="s">
        <v>185</v>
      </c>
      <c r="B28" s="44" t="s">
        <v>194</v>
      </c>
      <c r="C28" s="41" t="n">
        <v>7</v>
      </c>
      <c r="D28" s="41"/>
      <c r="E28" s="45" t="s">
        <v>173</v>
      </c>
    </row>
    <row r="29" customFormat="false" ht="17.15" hidden="false" customHeight="false" outlineLevel="0" collapsed="false">
      <c r="A29" s="41" t="s">
        <v>185</v>
      </c>
      <c r="B29" s="44" t="s">
        <v>195</v>
      </c>
      <c r="C29" s="41" t="n">
        <v>20</v>
      </c>
      <c r="D29" s="41"/>
      <c r="E29" s="45" t="s">
        <v>173</v>
      </c>
    </row>
    <row r="30" customFormat="false" ht="17.15" hidden="false" customHeight="false" outlineLevel="0" collapsed="false">
      <c r="A30" s="41" t="s">
        <v>185</v>
      </c>
      <c r="B30" s="41" t="s">
        <v>196</v>
      </c>
      <c r="C30" s="41" t="n">
        <v>0</v>
      </c>
      <c r="D30" s="41"/>
      <c r="E30" s="45" t="s">
        <v>173</v>
      </c>
    </row>
    <row r="31" customFormat="false" ht="17.15" hidden="false" customHeight="false" outlineLevel="0" collapsed="false">
      <c r="A31" s="41" t="s">
        <v>185</v>
      </c>
      <c r="B31" s="44" t="s">
        <v>197</v>
      </c>
      <c r="C31" s="41" t="n">
        <v>0</v>
      </c>
      <c r="D31" s="41"/>
      <c r="E31" s="45" t="s">
        <v>173</v>
      </c>
    </row>
    <row r="32" customFormat="false" ht="17.15" hidden="false" customHeight="false" outlineLevel="0" collapsed="false">
      <c r="A32" s="41" t="s">
        <v>185</v>
      </c>
      <c r="B32" s="44" t="s">
        <v>198</v>
      </c>
      <c r="C32" s="41" t="n">
        <v>100</v>
      </c>
      <c r="D32" s="41"/>
      <c r="E32" s="45" t="s">
        <v>173</v>
      </c>
    </row>
    <row r="33" customFormat="false" ht="17.15" hidden="false" customHeight="false" outlineLevel="0" collapsed="false">
      <c r="A33" s="41" t="s">
        <v>185</v>
      </c>
      <c r="B33" s="44" t="s">
        <v>199</v>
      </c>
      <c r="C33" s="41" t="n">
        <v>500</v>
      </c>
      <c r="D33" s="41"/>
      <c r="E33" s="45" t="s">
        <v>173</v>
      </c>
    </row>
    <row r="34" customFormat="false" ht="17.15" hidden="false" customHeight="false" outlineLevel="0" collapsed="false">
      <c r="A34" s="41" t="s">
        <v>185</v>
      </c>
      <c r="B34" s="44" t="s">
        <v>200</v>
      </c>
      <c r="C34" s="41" t="n">
        <v>100</v>
      </c>
      <c r="D34" s="41"/>
      <c r="E34" s="45" t="s">
        <v>173</v>
      </c>
    </row>
    <row r="35" customFormat="false" ht="17.15" hidden="false" customHeight="false" outlineLevel="0" collapsed="false">
      <c r="A35" s="41" t="s">
        <v>185</v>
      </c>
      <c r="B35" s="44" t="s">
        <v>201</v>
      </c>
      <c r="C35" s="41" t="n">
        <v>100</v>
      </c>
      <c r="D35" s="41"/>
      <c r="E35" s="45" t="s">
        <v>173</v>
      </c>
    </row>
    <row r="36" customFormat="false" ht="17.15" hidden="false" customHeight="false" outlineLevel="0" collapsed="false">
      <c r="A36" s="41" t="s">
        <v>185</v>
      </c>
      <c r="B36" s="44" t="s">
        <v>202</v>
      </c>
      <c r="C36" s="41" t="n">
        <v>10</v>
      </c>
      <c r="D36" s="41"/>
      <c r="E36" s="45" t="s">
        <v>173</v>
      </c>
    </row>
    <row r="37" customFormat="false" ht="17.15" hidden="false" customHeight="false" outlineLevel="0" collapsed="false">
      <c r="A37" s="41" t="s">
        <v>185</v>
      </c>
      <c r="B37" s="44" t="s">
        <v>203</v>
      </c>
      <c r="C37" s="41" t="n">
        <v>700</v>
      </c>
      <c r="D37" s="41"/>
      <c r="E37" s="45" t="s">
        <v>173</v>
      </c>
    </row>
    <row r="38" customFormat="false" ht="17.15" hidden="false" customHeight="false" outlineLevel="0" collapsed="false">
      <c r="A38" s="41" t="s">
        <v>185</v>
      </c>
      <c r="B38" s="44" t="s">
        <v>204</v>
      </c>
      <c r="C38" s="41" t="n">
        <v>5</v>
      </c>
      <c r="D38" s="41"/>
      <c r="E38" s="45" t="s">
        <v>173</v>
      </c>
    </row>
    <row r="39" customFormat="false" ht="17.15" hidden="false" customHeight="false" outlineLevel="0" collapsed="false">
      <c r="A39" s="41" t="s">
        <v>185</v>
      </c>
      <c r="B39" s="44" t="s">
        <v>205</v>
      </c>
      <c r="C39" s="41" t="n">
        <v>2000</v>
      </c>
      <c r="D39" s="41"/>
      <c r="E39" s="45" t="s">
        <v>173</v>
      </c>
    </row>
    <row r="40" customFormat="false" ht="17.15" hidden="false" customHeight="false" outlineLevel="0" collapsed="false">
      <c r="A40" s="41" t="s">
        <v>185</v>
      </c>
      <c r="B40" s="44" t="s">
        <v>206</v>
      </c>
      <c r="C40" s="41" t="n">
        <v>500</v>
      </c>
      <c r="D40" s="41"/>
      <c r="E40" s="45" t="s">
        <v>173</v>
      </c>
    </row>
    <row r="41" customFormat="false" ht="17.15" hidden="false" customHeight="false" outlineLevel="0" collapsed="false">
      <c r="A41" s="44" t="s">
        <v>207</v>
      </c>
      <c r="B41" s="44" t="s">
        <v>208</v>
      </c>
      <c r="C41" s="41" t="n">
        <v>1000</v>
      </c>
      <c r="D41" s="41"/>
      <c r="E41" s="45" t="s">
        <v>173</v>
      </c>
    </row>
    <row r="42" customFormat="false" ht="17.15" hidden="false" customHeight="false" outlineLevel="0" collapsed="false">
      <c r="A42" s="44" t="s">
        <v>207</v>
      </c>
      <c r="B42" s="44" t="s">
        <v>209</v>
      </c>
      <c r="C42" s="41" t="n">
        <v>100</v>
      </c>
      <c r="D42" s="41"/>
      <c r="E42" s="45" t="s">
        <v>173</v>
      </c>
    </row>
    <row r="43" customFormat="false" ht="17.15" hidden="false" customHeight="false" outlineLevel="0" collapsed="false">
      <c r="A43" s="44" t="s">
        <v>207</v>
      </c>
      <c r="B43" s="44" t="s">
        <v>210</v>
      </c>
      <c r="C43" s="41" t="n">
        <v>1000</v>
      </c>
      <c r="D43" s="41"/>
      <c r="E43" s="45" t="s">
        <v>173</v>
      </c>
    </row>
    <row r="47" customFormat="false" ht="17.15" hidden="false" customHeight="false" outlineLevel="0" collapsed="false">
      <c r="A47" s="41" t="s">
        <v>211</v>
      </c>
    </row>
    <row r="48" customFormat="false" ht="17.15" hidden="false" customHeight="false" outlineLevel="0" collapsed="false">
      <c r="A48" s="44" t="s">
        <v>166</v>
      </c>
      <c r="B48" s="44" t="s">
        <v>212</v>
      </c>
      <c r="C48" s="44" t="s">
        <v>213</v>
      </c>
      <c r="D48" s="44" t="s">
        <v>214</v>
      </c>
    </row>
    <row r="49" customFormat="false" ht="17.15" hidden="false" customHeight="false" outlineLevel="0" collapsed="false">
      <c r="A49" s="44" t="s">
        <v>207</v>
      </c>
      <c r="B49" s="41" t="s">
        <v>14</v>
      </c>
      <c r="C49" s="41" t="s">
        <v>215</v>
      </c>
      <c r="D49" s="41" t="s">
        <v>216</v>
      </c>
    </row>
    <row r="51" customFormat="false" ht="17.15" hidden="false" customHeight="false" outlineLevel="0" collapsed="false">
      <c r="A51" s="41" t="s">
        <v>217</v>
      </c>
    </row>
    <row r="52" customFormat="false" ht="17.15" hidden="false" customHeight="false" outlineLevel="0" collapsed="false">
      <c r="A52" s="44" t="s">
        <v>166</v>
      </c>
      <c r="B52" s="44" t="s">
        <v>218</v>
      </c>
      <c r="C52" s="44" t="s">
        <v>219</v>
      </c>
      <c r="D52" s="44" t="s">
        <v>168</v>
      </c>
    </row>
    <row r="53" customFormat="false" ht="17.15" hidden="false" customHeight="false" outlineLevel="0" collapsed="false">
      <c r="A53" s="44" t="s">
        <v>171</v>
      </c>
      <c r="B53" s="44" t="s">
        <v>220</v>
      </c>
      <c r="C53" s="44" t="s">
        <v>105</v>
      </c>
      <c r="D53" s="41" t="n">
        <v>2000</v>
      </c>
    </row>
    <row r="54" customFormat="false" ht="17.15" hidden="false" customHeight="false" outlineLevel="0" collapsed="false">
      <c r="A54" s="44" t="s">
        <v>207</v>
      </c>
      <c r="B54" s="44" t="s">
        <v>221</v>
      </c>
      <c r="C54" s="44" t="s">
        <v>75</v>
      </c>
      <c r="D54" s="41" t="n">
        <v>1000</v>
      </c>
    </row>
    <row r="56" customFormat="false" ht="17.15" hidden="false" customHeight="false" outlineLevel="0" collapsed="false">
      <c r="A56" s="41" t="s">
        <v>222</v>
      </c>
    </row>
    <row r="57" customFormat="false" ht="17.15" hidden="false" customHeight="false" outlineLevel="0" collapsed="false">
      <c r="A57" s="44" t="s">
        <v>166</v>
      </c>
      <c r="B57" s="44" t="s">
        <v>218</v>
      </c>
      <c r="C57" s="44" t="s">
        <v>223</v>
      </c>
      <c r="D57" s="44" t="s">
        <v>168</v>
      </c>
    </row>
    <row r="58" customFormat="false" ht="17.15" hidden="false" customHeight="false" outlineLevel="0" collapsed="false">
      <c r="A58" s="44" t="s">
        <v>171</v>
      </c>
      <c r="B58" s="44" t="s">
        <v>220</v>
      </c>
      <c r="C58" s="44" t="s">
        <v>105</v>
      </c>
      <c r="D58" s="41" t="n">
        <v>2000</v>
      </c>
    </row>
    <row r="59" customFormat="false" ht="17.15" hidden="false" customHeight="false" outlineLevel="0" collapsed="false">
      <c r="A59" s="44" t="s">
        <v>171</v>
      </c>
      <c r="B59" s="44" t="s">
        <v>224</v>
      </c>
      <c r="C59" s="44" t="s">
        <v>225</v>
      </c>
      <c r="D59" s="41" t="n">
        <v>500</v>
      </c>
    </row>
    <row r="60" customFormat="false" ht="17.15" hidden="false" customHeight="false" outlineLevel="0" collapsed="false">
      <c r="A60" s="44" t="s">
        <v>171</v>
      </c>
      <c r="B60" s="44" t="s">
        <v>226</v>
      </c>
      <c r="C60" s="44" t="s">
        <v>227</v>
      </c>
      <c r="D60" s="41" t="n">
        <v>500</v>
      </c>
    </row>
    <row r="61" customFormat="false" ht="17.15" hidden="false" customHeight="false" outlineLevel="0" collapsed="false">
      <c r="A61" s="44" t="s">
        <v>171</v>
      </c>
      <c r="B61" s="44" t="s">
        <v>228</v>
      </c>
      <c r="C61" s="44" t="s">
        <v>229</v>
      </c>
      <c r="D61" s="41" t="n">
        <v>10</v>
      </c>
    </row>
    <row r="62" customFormat="false" ht="17.15" hidden="false" customHeight="false" outlineLevel="0" collapsed="false">
      <c r="A62" s="44" t="s">
        <v>171</v>
      </c>
      <c r="B62" s="44" t="s">
        <v>230</v>
      </c>
      <c r="C62" s="44" t="s">
        <v>51</v>
      </c>
      <c r="D62" s="41" t="n">
        <v>15</v>
      </c>
    </row>
    <row r="63" customFormat="false" ht="17.15" hidden="false" customHeight="false" outlineLevel="0" collapsed="false">
      <c r="A63" s="44" t="s">
        <v>171</v>
      </c>
      <c r="B63" s="44" t="s">
        <v>231</v>
      </c>
      <c r="C63" s="44" t="s">
        <v>51</v>
      </c>
      <c r="D63" s="41" t="n">
        <v>200</v>
      </c>
    </row>
    <row r="64" customFormat="false" ht="17.15" hidden="false" customHeight="false" outlineLevel="0" collapsed="false">
      <c r="A64" s="44" t="s">
        <v>171</v>
      </c>
      <c r="B64" s="44" t="s">
        <v>232</v>
      </c>
      <c r="C64" s="44" t="s">
        <v>229</v>
      </c>
      <c r="D64" s="41" t="n">
        <v>100</v>
      </c>
    </row>
    <row r="65" customFormat="false" ht="17.15" hidden="false" customHeight="false" outlineLevel="0" collapsed="false">
      <c r="A65" s="44" t="s">
        <v>180</v>
      </c>
      <c r="B65" s="44" t="s">
        <v>233</v>
      </c>
      <c r="C65" s="44" t="s">
        <v>52</v>
      </c>
      <c r="D65" s="41" t="n">
        <v>100</v>
      </c>
    </row>
    <row r="66" customFormat="false" ht="17.15" hidden="false" customHeight="false" outlineLevel="0" collapsed="false">
      <c r="A66" s="41" t="s">
        <v>185</v>
      </c>
      <c r="B66" s="41" t="s">
        <v>234</v>
      </c>
      <c r="C66" s="41" t="s">
        <v>234</v>
      </c>
      <c r="D66" s="41" t="n">
        <v>10</v>
      </c>
    </row>
    <row r="67" customFormat="false" ht="17.15" hidden="false" customHeight="false" outlineLevel="0" collapsed="false">
      <c r="A67" s="41" t="s">
        <v>185</v>
      </c>
      <c r="B67" s="44" t="s">
        <v>235</v>
      </c>
      <c r="C67" s="44" t="s">
        <v>92</v>
      </c>
      <c r="D67" s="41" t="n">
        <v>2000</v>
      </c>
    </row>
    <row r="68" customFormat="false" ht="17.15" hidden="false" customHeight="false" outlineLevel="0" collapsed="false">
      <c r="A68" s="41" t="s">
        <v>185</v>
      </c>
      <c r="B68" s="44" t="s">
        <v>236</v>
      </c>
      <c r="C68" s="44" t="s">
        <v>82</v>
      </c>
      <c r="D68" s="41" t="n">
        <v>3</v>
      </c>
    </row>
    <row r="69" customFormat="false" ht="17.15" hidden="false" customHeight="false" outlineLevel="0" collapsed="false">
      <c r="A69" s="41" t="s">
        <v>185</v>
      </c>
      <c r="B69" s="44" t="s">
        <v>91</v>
      </c>
      <c r="C69" s="44" t="s">
        <v>91</v>
      </c>
      <c r="D69" s="41" t="n">
        <v>50</v>
      </c>
    </row>
    <row r="70" customFormat="false" ht="17.15" hidden="false" customHeight="false" outlineLevel="0" collapsed="false">
      <c r="A70" s="41" t="s">
        <v>185</v>
      </c>
      <c r="B70" s="44" t="s">
        <v>97</v>
      </c>
      <c r="C70" s="44" t="s">
        <v>97</v>
      </c>
      <c r="D70" s="41" t="n">
        <v>10</v>
      </c>
    </row>
    <row r="71" customFormat="false" ht="17.15" hidden="false" customHeight="false" outlineLevel="0" collapsed="false">
      <c r="A71" s="41" t="s">
        <v>185</v>
      </c>
      <c r="B71" s="44" t="s">
        <v>237</v>
      </c>
      <c r="C71" s="44" t="s">
        <v>96</v>
      </c>
      <c r="D71" s="41" t="n">
        <v>100</v>
      </c>
    </row>
    <row r="72" customFormat="false" ht="17.15" hidden="false" customHeight="false" outlineLevel="0" collapsed="false">
      <c r="A72" s="41" t="s">
        <v>185</v>
      </c>
      <c r="B72" s="44" t="s">
        <v>91</v>
      </c>
      <c r="C72" s="44" t="s">
        <v>91</v>
      </c>
      <c r="D72" s="41" t="n">
        <v>50</v>
      </c>
    </row>
    <row r="73" customFormat="false" ht="17.15" hidden="false" customHeight="false" outlineLevel="0" collapsed="false">
      <c r="A73" s="41" t="s">
        <v>185</v>
      </c>
      <c r="B73" s="41" t="s">
        <v>234</v>
      </c>
      <c r="C73" s="41" t="s">
        <v>234</v>
      </c>
      <c r="D73" s="41" t="n">
        <v>30</v>
      </c>
    </row>
    <row r="74" customFormat="false" ht="17.15" hidden="false" customHeight="false" outlineLevel="0" collapsed="false">
      <c r="A74" s="41" t="s">
        <v>185</v>
      </c>
      <c r="B74" s="44" t="s">
        <v>238</v>
      </c>
      <c r="C74" s="44" t="s">
        <v>96</v>
      </c>
      <c r="D74" s="41" t="n">
        <v>5</v>
      </c>
    </row>
    <row r="75" customFormat="false" ht="17.15" hidden="false" customHeight="false" outlineLevel="0" collapsed="false">
      <c r="A75" s="41" t="s">
        <v>185</v>
      </c>
      <c r="B75" s="44" t="s">
        <v>239</v>
      </c>
      <c r="C75" s="44" t="s">
        <v>96</v>
      </c>
      <c r="D75" s="41" t="n">
        <v>30</v>
      </c>
    </row>
    <row r="76" customFormat="false" ht="17.15" hidden="false" customHeight="false" outlineLevel="0" collapsed="false">
      <c r="A76" s="41" t="s">
        <v>185</v>
      </c>
      <c r="B76" s="44" t="s">
        <v>240</v>
      </c>
      <c r="C76" s="44" t="s">
        <v>96</v>
      </c>
      <c r="D76" s="41" t="n">
        <v>0</v>
      </c>
    </row>
    <row r="77" customFormat="false" ht="17.15" hidden="false" customHeight="false" outlineLevel="0" collapsed="false">
      <c r="A77" s="44" t="s">
        <v>207</v>
      </c>
      <c r="B77" s="44" t="s">
        <v>241</v>
      </c>
      <c r="C77" s="44" t="s">
        <v>52</v>
      </c>
      <c r="D77" s="41" t="n">
        <v>200</v>
      </c>
    </row>
    <row r="78" customFormat="false" ht="17.15" hidden="false" customHeight="false" outlineLevel="0" collapsed="false">
      <c r="A78" s="44" t="s">
        <v>207</v>
      </c>
      <c r="B78" s="44" t="s">
        <v>242</v>
      </c>
      <c r="C78" s="44" t="s">
        <v>52</v>
      </c>
      <c r="D78" s="41" t="n">
        <v>200</v>
      </c>
    </row>
    <row r="80" customFormat="false" ht="17.15" hidden="false" customHeight="false" outlineLevel="0" collapsed="false">
      <c r="A80" s="41" t="s">
        <v>243</v>
      </c>
    </row>
    <row r="81" customFormat="false" ht="17.15" hidden="false" customHeight="false" outlineLevel="0" collapsed="false">
      <c r="A81" s="44" t="s">
        <v>166</v>
      </c>
      <c r="B81" s="44" t="s">
        <v>218</v>
      </c>
      <c r="C81" s="44" t="s">
        <v>219</v>
      </c>
      <c r="D81" s="44" t="s">
        <v>168</v>
      </c>
    </row>
    <row r="82" customFormat="false" ht="17.15" hidden="false" customHeight="false" outlineLevel="0" collapsed="false">
      <c r="A82" s="44" t="s">
        <v>171</v>
      </c>
      <c r="B82" s="44" t="s">
        <v>244</v>
      </c>
      <c r="C82" s="44" t="s">
        <v>245</v>
      </c>
      <c r="D82" s="41" t="n">
        <v>200</v>
      </c>
    </row>
    <row r="83" customFormat="false" ht="17.15" hidden="false" customHeight="false" outlineLevel="0" collapsed="false">
      <c r="A83" s="44" t="s">
        <v>171</v>
      </c>
      <c r="B83" s="44" t="s">
        <v>246</v>
      </c>
      <c r="C83" s="44" t="s">
        <v>45</v>
      </c>
      <c r="D83" s="41" t="n">
        <v>10000</v>
      </c>
    </row>
    <row r="84" customFormat="false" ht="17.15" hidden="false" customHeight="false" outlineLevel="0" collapsed="false">
      <c r="A84" s="44" t="s">
        <v>180</v>
      </c>
      <c r="B84" s="44" t="s">
        <v>233</v>
      </c>
      <c r="C84" s="44" t="s">
        <v>52</v>
      </c>
      <c r="D84" s="41" t="n">
        <v>100</v>
      </c>
    </row>
    <row r="85" customFormat="false" ht="17.15" hidden="false" customHeight="false" outlineLevel="0" collapsed="false">
      <c r="A85" s="44" t="s">
        <v>180</v>
      </c>
      <c r="B85" s="44" t="s">
        <v>247</v>
      </c>
      <c r="C85" s="44" t="s">
        <v>245</v>
      </c>
      <c r="D85" s="41" t="n">
        <v>1000</v>
      </c>
    </row>
    <row r="86" customFormat="false" ht="17.15" hidden="false" customHeight="false" outlineLevel="0" collapsed="false">
      <c r="A86" s="44" t="s">
        <v>207</v>
      </c>
      <c r="B86" s="44" t="s">
        <v>241</v>
      </c>
      <c r="C86" s="44" t="s">
        <v>52</v>
      </c>
      <c r="D86" s="41" t="n">
        <v>200</v>
      </c>
    </row>
    <row r="87" customFormat="false" ht="17.15" hidden="false" customHeight="false" outlineLevel="0" collapsed="false">
      <c r="A87" s="44" t="s">
        <v>207</v>
      </c>
      <c r="B87" s="44" t="s">
        <v>242</v>
      </c>
      <c r="C87" s="44" t="s">
        <v>52</v>
      </c>
      <c r="D87" s="41" t="n">
        <v>200</v>
      </c>
    </row>
    <row r="88" customFormat="false" ht="17.15" hidden="false" customHeight="false" outlineLevel="0" collapsed="false">
      <c r="A88" s="44" t="s">
        <v>207</v>
      </c>
      <c r="B88" s="44" t="s">
        <v>248</v>
      </c>
      <c r="C88" s="44" t="s">
        <v>53</v>
      </c>
      <c r="D88" s="41" t="n">
        <v>5</v>
      </c>
    </row>
    <row r="89" customFormat="false" ht="17.15" hidden="false" customHeight="false" outlineLevel="0" collapsed="false">
      <c r="A89" s="44" t="s">
        <v>207</v>
      </c>
      <c r="B89" s="44" t="s">
        <v>249</v>
      </c>
      <c r="C89" s="44" t="s">
        <v>41</v>
      </c>
      <c r="D89" s="41" t="n">
        <v>0</v>
      </c>
    </row>
  </sheetData>
  <hyperlinks>
    <hyperlink ref="E8" r:id="rId1" display="🔗약관검색"/>
    <hyperlink ref="E9" r:id="rId2" display="🔗약관검색"/>
    <hyperlink ref="E10" r:id="rId3" display="🔗약관검색"/>
    <hyperlink ref="E11" r:id="rId4" display="🔗약관검색"/>
    <hyperlink ref="E12" r:id="rId5" display="🔗약관검색"/>
    <hyperlink ref="E13" r:id="rId6" display="🔗약관검색"/>
    <hyperlink ref="E14" r:id="rId7" display="🔗약관검색"/>
    <hyperlink ref="E15" r:id="rId8" display="🔗약관검색"/>
    <hyperlink ref="E16" r:id="rId9" display="🔗약관검색"/>
    <hyperlink ref="E17" r:id="rId10" display="🔗약관검색"/>
    <hyperlink ref="E18" r:id="rId11" display="🔗약관검색"/>
    <hyperlink ref="E19" r:id="rId12" display="🔗약관검색"/>
    <hyperlink ref="E20" r:id="rId13" display="🔗약관검색"/>
    <hyperlink ref="E21" r:id="rId14" display="🔗약관검색"/>
    <hyperlink ref="E22" r:id="rId15" display="🔗약관검색"/>
    <hyperlink ref="E23" r:id="rId16" display="🔗약관검색"/>
    <hyperlink ref="E24" r:id="rId17" display="🔗약관검색"/>
    <hyperlink ref="E25" r:id="rId18" display="🔗약관검색"/>
    <hyperlink ref="E26" r:id="rId19" display="🔗약관검색"/>
    <hyperlink ref="E27" r:id="rId20" display="🔗약관검색"/>
    <hyperlink ref="E28" r:id="rId21" display="🔗약관검색"/>
    <hyperlink ref="E29" r:id="rId22" display="🔗약관검색"/>
    <hyperlink ref="E30" r:id="rId23" display="🔗약관검색"/>
    <hyperlink ref="E31" r:id="rId24" display="🔗약관검색"/>
    <hyperlink ref="E32" r:id="rId25" display="🔗약관검색"/>
    <hyperlink ref="E33" r:id="rId26" display="🔗약관검색"/>
    <hyperlink ref="E34" r:id="rId27" display="🔗약관검색"/>
    <hyperlink ref="E35" r:id="rId28" display="🔗약관검색"/>
    <hyperlink ref="E36" r:id="rId29" display="🔗약관검색"/>
    <hyperlink ref="E37" r:id="rId30" display="🔗약관검색"/>
    <hyperlink ref="E38" r:id="rId31" display="🔗약관검색"/>
    <hyperlink ref="E39" r:id="rId32" display="🔗약관검색"/>
    <hyperlink ref="E40" r:id="rId33" display="🔗약관검색"/>
    <hyperlink ref="E41" r:id="rId34" display="🔗약관검색"/>
    <hyperlink ref="E42" r:id="rId35" display="🔗약관검색"/>
    <hyperlink ref="E43" r:id="rId36" display="🔗약관검색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2026-07-08T04:10:47Z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